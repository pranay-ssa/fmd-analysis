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fmd-analysis\reports\bubble_merge\"/>
    </mc:Choice>
  </mc:AlternateContent>
  <xr:revisionPtr revIDLastSave="0" documentId="13_ncr:1_{0C0F1CF6-EEC1-4C88-B172-B4AC9073074C}" xr6:coauthVersionLast="47" xr6:coauthVersionMax="47" xr10:uidLastSave="{00000000-0000-0000-0000-000000000000}"/>
  <bookViews>
    <workbookView xWindow="-120" yWindow="-120" windowWidth="29040" windowHeight="15720" activeTab="2" xr2:uid="{00000000-000D-0000-FFFF-FFFF00000000}"/>
  </bookViews>
  <sheets>
    <sheet name="Read me" sheetId="1" r:id="rId1"/>
    <sheet name="Headline" sheetId="2" r:id="rId2"/>
    <sheet name="Per class" sheetId="3" r:id="rId3"/>
    <sheet name="What moved" sheetId="4" r:id="rId4"/>
    <sheet name="Count table" sheetId="5" r:id="rId5"/>
    <sheet name="Image EDA" sheetId="6" r:id="rId6"/>
    <sheet name="Chart data" sheetId="7" r:id="rId7"/>
  </sheets>
  <definedNames>
    <definedName name="_xlnm._FilterDatabase" localSheetId="4" hidden="1">'Count table'!$A$1:$G$47</definedName>
  </definedNames>
  <calcPr calcId="0"/>
</workbook>
</file>

<file path=xl/sharedStrings.xml><?xml version="1.0" encoding="utf-8"?>
<sst xmlns="http://schemas.openxmlformats.org/spreadsheetml/2006/main" count="418" uniqueCount="179">
  <si>
    <t>The two readings side by side. Change = merged minus separate, in points. Positive favours the merged reading.</t>
  </si>
  <si>
    <t>'Bubble pictures found' counts the 54 test pictures from the four bubble classes. In the separate reading a picture counts only when the model names its exact class; in the merged reading every correct bubble picture counts.</t>
  </si>
  <si>
    <t>The last row of each block is the cost side: of all pictures the model called Bubble, the share that really were bubbles. A drop means the merged class pulls in pictures that are not bubbles.</t>
  </si>
  <si>
    <t>Macro F1 rises partly by arithmetic: merging removes two classes that scored near zero, so the average climbs without any picture changing. The bubble rows are the real effect.</t>
  </si>
  <si>
    <t>architecture</t>
  </si>
  <si>
    <t>measure</t>
  </si>
  <si>
    <t>separate reading</t>
  </si>
  <si>
    <t>merged reading</t>
  </si>
  <si>
    <t>change (points)</t>
  </si>
  <si>
    <t>ResNet50</t>
  </si>
  <si>
    <t>Accuracy on all 3,185 test pictures</t>
  </si>
  <si>
    <t>Macro F1 score (average over classes)</t>
  </si>
  <si>
    <t>Bubble pictures found (of 54)</t>
  </si>
  <si>
    <t>MultiLevel MultiScale</t>
  </si>
  <si>
    <t>The question</t>
  </si>
  <si>
    <t>The client asked to fold Bubble, Bubble On 123, Bubble On Edge and Bubble Irregular into one class called Bubble. Before answering, we ran the test: train the model twice on the same pictures, once with the four classes separate, once with them merged. Nothing else changes. Same 10,614 pictures, same training setup, same 3,185 test pictures. So every difference in this workbook comes from the merge alone.</t>
  </si>
  <si>
    <t>The answer in one line</t>
  </si>
  <si>
    <t>Yes, merge them. The bubble family goes from found 43 to 56 percent of its test pictures (separate) to 65 to 67 percent (merged). Overall accuracy does not drop: ResNet50 stays at 86.2, MultiScale gains 1.4 points. The merge also helps Foreign Matter (+36 correct pictures on ResNet50). It costs two classes, named below.</t>
  </si>
  <si>
    <t>The story: what we did</t>
  </si>
  <si>
    <t>1. We built both readings from the same 10,614 pictures: 8,409 with a defect tag, 2,205 with no defect (the Clear class). One tag per picture; when a picture carries two tags, the newer annotation folders win, as the client confirmed on 7 October. The 33 pictures called Fiber in the old library count as Extraneous Polymer.</t>
  </si>
  <si>
    <t>2. Four models, identical recipe: 50 epochs, batch size 8, SGD learning rate 0.0001, pictures at 224 by 224 pixels, fixed random seed. Two architectures (ResNet50, MultiLevel MultiScale) times two readings (separate, merged).</t>
  </si>
  <si>
    <t>The story: what we found</t>
  </si>
  <si>
    <t>Kept separate, the small bubble classes were unlearnable: Bubble On Edge scored 0 of 4, Bubble On 123 0 or 1 of 4, Bubble Irregular 5 of 13. Even plain Bubble found only 43 to 56 percent of its pictures. As one class, the family gets found 65 to 67 percent.</t>
  </si>
  <si>
    <t>Merging helps beyond the bubbles. With the tiny classes gone, the model stops forcing lookalike pictures into them, and Foreign Matter gains 36 correct pictures on ResNet50. The classes that carry most of the data (Low Dose Obstructing RoI, Multiple Lenses, Missing Primary Package, Clear, Missing Lens) move less than one and a half points: the merge does not destabilize the model.</t>
  </si>
  <si>
    <t>The insight behind the numbers</t>
  </si>
  <si>
    <t>The four bubble classes were never four different things to a camera. They are one defect that varies in size and position. The model could not learn the split because the split is not visible in the pixels. Bubble Cluster, which we did not merge, sits on the same invisible boundary: it also looks like bubbles on a lens. So the test answered more than the question we asked. It showed where this camera sees class boundaries at all: every bubble of any kind looks like one thing to it, and any boundary drawn inside that family will leak.</t>
  </si>
  <si>
    <t>The two costs</t>
  </si>
  <si>
    <t>1. Bubble Cluster, which sits outside the merge, gets swallowed by the bigger Bubble class: 6 of its 11 test pictures are called Bubble on ResNet50, and its recall falls from 45.5 to 18.2. The direct fix, if the client wants it, is to fold Bubble Cluster into the merge too (36 more pictures, same defect family). We can run that test and have the verified number in about two hours.</t>
  </si>
  <si>
    <t>2. Fiber loses 20 points on ResNet50 and 10 on MultiScale. Part of this is the same confusion (17 Fiber pictures land in Foreign Matter), part is the annotation change that moved 33 old-Fiber pictures to Extraneous Polymer. Watch it before acting on it.</t>
  </si>
  <si>
    <t>How to read this workbook</t>
  </si>
  <si>
    <t>Every sheet shows the separate reading and the merged reading side by side. Change = merged minus separate, in points; positive favours the merge. Sheets, in order:</t>
  </si>
  <si>
    <t>sheet</t>
  </si>
  <si>
    <t>what it holds</t>
  </si>
  <si>
    <t>Headline</t>
  </si>
  <si>
    <t>The two readings compared: accuracy on all 3,185 test pictures, and the results on the 54 bubble test pictures. Start here.</t>
  </si>
  <si>
    <t>Per class</t>
  </si>
  <si>
    <t>Recall for every class in all four runs, with the change between readings, colour-scaled red to green.</t>
  </si>
  <si>
    <t>What moved</t>
  </si>
  <si>
    <t>The mechanism, one row per class: test pictures each reading got right, gained, lost, and which classes the gains came from and the losses went to.</t>
  </si>
  <si>
    <t>Count table</t>
  </si>
  <si>
    <t>The client's count table: pictures carrying each tag versus pictures in each class, both readings.</t>
  </si>
  <si>
    <t>Image EDA</t>
  </si>
  <si>
    <t>The pool and the split: pictures per class, training and test.</t>
  </si>
  <si>
    <t>The footnote</t>
  </si>
  <si>
    <t>One run per cell, one fixed seed. The big moves (bubble recall +9 to +24 points, the Bubble Cluster swallow, the Foreign Matter gain) are far outside what run-to-run noise explains. Moves under about one point are not, and the small classes (4 to 13 test pictures) swing whole percentage points per picture: read them with that in mind. Numbers give the insight; this page gives the story. Take both to the meeting.</t>
  </si>
  <si>
    <t>Class</t>
  </si>
  <si>
    <t>Test pictures</t>
  </si>
  <si>
    <t>ResNet50 separate</t>
  </si>
  <si>
    <t>ResNet50 merged</t>
  </si>
  <si>
    <t>Delta (points)</t>
  </si>
  <si>
    <t>MultiScale separate</t>
  </si>
  <si>
    <t>MultiScale merged</t>
  </si>
  <si>
    <t>Notes</t>
  </si>
  <si>
    <t>Bubble</t>
  </si>
  <si>
    <t>separate column pools the four bubble classes</t>
  </si>
  <si>
    <t>Bubble Cluster</t>
  </si>
  <si>
    <t>Bubble Irregular</t>
  </si>
  <si>
    <t>folded into Bubble in the merged reading</t>
  </si>
  <si>
    <t>Bubble On 123</t>
  </si>
  <si>
    <t>Bubble On Edge</t>
  </si>
  <si>
    <t>Bubble Scatter</t>
  </si>
  <si>
    <t>Cavity Off Center</t>
  </si>
  <si>
    <t>Clear</t>
  </si>
  <si>
    <t>Dirty Camera</t>
  </si>
  <si>
    <t>Dirty Strobe</t>
  </si>
  <si>
    <t>Extraneous Polymer</t>
  </si>
  <si>
    <t>Fiber</t>
  </si>
  <si>
    <t>Foreign Matter</t>
  </si>
  <si>
    <t>HEMA Fragment</t>
  </si>
  <si>
    <t>HEMA Obstruction</t>
  </si>
  <si>
    <t>Lens Off Center</t>
  </si>
  <si>
    <t>Low Dose Obstructing Region of Interest</t>
  </si>
  <si>
    <t>Missing Lens</t>
  </si>
  <si>
    <t>Missing Primary Package</t>
  </si>
  <si>
    <t>Multiple Lenses</t>
  </si>
  <si>
    <t>Package Misalignment</t>
  </si>
  <si>
    <t>View Obstructed</t>
  </si>
  <si>
    <t>Wet Package</t>
  </si>
  <si>
    <t>Recall for every class: of that class's test pictures, the share the model named correctly. Four columns: each architecture in each reading. Change = merged minus separate, in points.</t>
  </si>
  <si>
    <t>Test pictures = the class's share of the 3,185 test pictures. Classes with fewer than 10 test pictures move many points per picture: Bubble On Edge has 4 test pictures, so one picture moves it 25 points.</t>
  </si>
  <si>
    <t>The Bubble row is the fair comparison: the separate column pools the four bubble classes, the merged column is the one Bubble class, both on the same 54 test pictures.</t>
  </si>
  <si>
    <t>Clear is the class of pictures with no defect tag. Bubble Cluster and Bubble Scatter stay separate in both readings.</t>
  </si>
  <si>
    <t>Did merging help? One row per class: test pictures the separate reading got right, test pictures the merged reading got right, and what moved between them.</t>
  </si>
  <si>
    <t>Gained = pictures the separate reading got wrong and the merged reading got right. Lost = the opposite. Net = gained minus lost.</t>
  </si>
  <si>
    <t>The four merged bubble classes form one pooled row, because in the merged reading they are one class. Bubble Cluster and Bubble Scatter stay their own classes in both readings and have their own rows.</t>
  </si>
  <si>
    <t>'Gains came from' names the class the separate reading had put those pictures in. 'Losses went to' names the class the merged reading put them in. Rows are ordered worst first.</t>
  </si>
  <si>
    <t>class</t>
  </si>
  <si>
    <t>test pictures</t>
  </si>
  <si>
    <t>right: separate</t>
  </si>
  <si>
    <t>right: merged</t>
  </si>
  <si>
    <t>gained</t>
  </si>
  <si>
    <t>lost</t>
  </si>
  <si>
    <t>net</t>
  </si>
  <si>
    <t>gains came from</t>
  </si>
  <si>
    <t>losses went to</t>
  </si>
  <si>
    <t>The four bubble classes pooled</t>
  </si>
  <si>
    <t>3 was called Clear; 3 was called Fiber; 2 was called Extraneous Polymer</t>
  </si>
  <si>
    <t>1 now called Foreign Matter</t>
  </si>
  <si>
    <t>8 was Fiber; 7 was Multiple Lenses</t>
  </si>
  <si>
    <t>28 now Foreign Matter; 6 now Fiber</t>
  </si>
  <si>
    <t>5 was Clear; 2 was Extraneous Polymer</t>
  </si>
  <si>
    <t>17 now Foreign Matter; 5 now Clear</t>
  </si>
  <si>
    <t>4 was HEMA Obstruction; 1 was Clear</t>
  </si>
  <si>
    <t>6 now HEMA Obstruction; 1 now Bubble</t>
  </si>
  <si>
    <t>3 now Bubble</t>
  </si>
  <si>
    <t>1 now Lens Off Center; 1 now Multiple Lenses</t>
  </si>
  <si>
    <t>1 now Bubble</t>
  </si>
  <si>
    <t>1 now Package Misalignment</t>
  </si>
  <si>
    <t>1 now Cavity Off Center</t>
  </si>
  <si>
    <t>1 was Multiple Lenses</t>
  </si>
  <si>
    <t>1 now Multiple Lenses</t>
  </si>
  <si>
    <t>4 was Multiple Lenses; 3 was Clear</t>
  </si>
  <si>
    <t>3 now Foreign Matter; 2 now Clear</t>
  </si>
  <si>
    <t>2 was Foreign Matter</t>
  </si>
  <si>
    <t>1 was Multiple Lenses; 1 was View Obstructed</t>
  </si>
  <si>
    <t>3 was Lens Off Center; 2 was Foreign Matter</t>
  </si>
  <si>
    <t>4 now Bubble; 1 now Multiple Lenses</t>
  </si>
  <si>
    <t>4 was Multiple Lenses; 3 was Low Dose Obstructing Region of Interest</t>
  </si>
  <si>
    <t>2 now Low Dose Obstructing Region of Interest; 2 now Multiple Lenses</t>
  </si>
  <si>
    <t>28 was Clear; 10 was Fiber</t>
  </si>
  <si>
    <t>7 now Fiber; 6 now Clear</t>
  </si>
  <si>
    <t>TOTAL</t>
  </si>
  <si>
    <t>net 1 pictures = +0.03 points of accuracy on all 3,185 test pictures</t>
  </si>
  <si>
    <t>2 was called Extraneous Polymer; 1 was called Foreign Matter; 1 was called Multiple Lenses</t>
  </si>
  <si>
    <t>2 now called Foreign Matter; 2 now called Bubble Cluster</t>
  </si>
  <si>
    <t>12 was Fiber; 4 was Clear</t>
  </si>
  <si>
    <t>29 now Clear; 7 now Fiber</t>
  </si>
  <si>
    <t>6 was Foreign Matter; 1 was Bubble On Edge</t>
  </si>
  <si>
    <t>13 now Clear; 6 now Foreign Matter</t>
  </si>
  <si>
    <t>2 was Package Misalignment; 1 was Bubble On 123</t>
  </si>
  <si>
    <t>5 now HEMA Obstruction; 2 now Low Dose Obstructing Region of Interest</t>
  </si>
  <si>
    <t>2 was Fiber; 1 was Low Dose Obstructing Region of Interest</t>
  </si>
  <si>
    <t>6 now Clear; 3 now Foreign Matter</t>
  </si>
  <si>
    <t>3 was Multiple Lenses; 1 was Wet Package</t>
  </si>
  <si>
    <t>3 now Lens Off Center; 2 now Wet Package</t>
  </si>
  <si>
    <t>2 now Cavity Off Center</t>
  </si>
  <si>
    <t>2 was Multiple Lenses; 1 was Bubble</t>
  </si>
  <si>
    <t>1 now Bubble; 1 now Fiber</t>
  </si>
  <si>
    <t>1 was Bubble On 123</t>
  </si>
  <si>
    <t>1 was Foreign Matter</t>
  </si>
  <si>
    <t>2 was Low Dose Obstructing Region of Interest; 1 was Multiple Lenses</t>
  </si>
  <si>
    <t>1 now Wet Package; 1 now Low Dose Obstructing Region of Interest</t>
  </si>
  <si>
    <t>2 was View Obstructed; 1 was Package Misalignment</t>
  </si>
  <si>
    <t>2 was Foreign Matter; 1 was Missing Lens</t>
  </si>
  <si>
    <t>10 was Multiple Lenses</t>
  </si>
  <si>
    <t>26 was Foreign Matter; 24 was Fiber</t>
  </si>
  <si>
    <t>3 now Foreign Matter; 2 now Extraneous Polymer</t>
  </si>
  <si>
    <t>net 41 pictures = +1.29 points of accuracy on all 3,185 test pictures</t>
  </si>
  <si>
    <t>Reading</t>
  </si>
  <si>
    <t>Tag family</t>
  </si>
  <si>
    <t>pictures with the tag</t>
  </si>
  <si>
    <t>pictures in the class (dataset)</t>
  </si>
  <si>
    <t>training pictures (70%)</t>
  </si>
  <si>
    <t>test pictures (30%)</t>
  </si>
  <si>
    <t>Separate</t>
  </si>
  <si>
    <t>LP tag</t>
  </si>
  <si>
    <t>OOI tag</t>
  </si>
  <si>
    <t>Merged</t>
  </si>
  <si>
    <t>Tag column: how many pictures carry that tag anywhere, counting every tag a picture has. 55 pictures carry two tags, so the tag columns sum to more than 10,614.</t>
  </si>
  <si>
    <t>Dataset column: how many pictures the class holds in the dataset, where each picture sits in exactly one class. The dataset column sums to 8,409 defect pictures plus 2,205 Clear pictures, exactly 10,614.</t>
  </si>
  <si>
    <t>LP tags and OOI tags are the client's two annotation tracks. Train and test split every class 70 to 30.</t>
  </si>
  <si>
    <t>Pictures in the class</t>
  </si>
  <si>
    <t>Training (70%)</t>
  </si>
  <si>
    <t>Test (30%)</t>
  </si>
  <si>
    <t>Pictures with the tag</t>
  </si>
  <si>
    <t>Low Dose Obstructing RoI</t>
  </si>
  <si>
    <t>The pool and the split, one row per class. Pictures in the class = training + test. The split keeps identical pictures (same file content) on one side, so no picture is both trained on and tested on.</t>
  </si>
  <si>
    <t>Totals: 10,614 pictures = 8,409 defect pictures + 2,205 Clear pictures; 7,429 training and 3,185 test.</t>
  </si>
  <si>
    <t>The merged reading changes only the four bubble rows: their 179 dataset pictures become one Bubble class (125 training, 54 test). Every other row is the same in both readings.</t>
  </si>
  <si>
    <t>separate</t>
  </si>
  <si>
    <t>merged</t>
  </si>
  <si>
    <t>ResNet50 change (points)</t>
  </si>
  <si>
    <t>MultiScale change (points)</t>
  </si>
  <si>
    <t>ResNet50 net</t>
  </si>
  <si>
    <t>MultiScale net</t>
  </si>
  <si>
    <t>Clear is its own label in the annotation (Updated Objects folder); it is not an LP or OOI tag, per the source record.</t>
  </si>
  <si>
    <t>Bubble pictures found</t>
  </si>
  <si>
    <t>Bubble pictures found as any bubble class</t>
  </si>
  <si>
    <t>Pictures called Bubble that were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</si>
</sst>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ont>
    <font>
      <sz val="11"/>
      <color rgb="FF7F7F7F"/>
      <name val="Calibri"/>
    </font>
    <font>
      <sz val="11"/>
      <color rgb="FF7F7F7F"/>
      <name val="Calibri"/>
    </font>
    <font>
      <b/>
      <sz val="11"/>
      <color rgb="FF2E75B6"/>
      <name val="Calibri"/>
    </font>
    <font>
      <b/>
      <sz val="11"/>
      <color rgb="FFFFFFFF"/>
      <name val="Calibri"/>
    </font>
    <font>
      <b/>
      <sz val="11"/>
      <name val="Calibri"/>
    </font>
    <font>
      <b/>
      <sz val="11"/>
      <color rgb="FFFFFFFF"/>
      <name val="Calibri"/>
      <family val="2"/>
    </font>
    <font>
      <i/>
      <sz val="11"/>
      <color rgb="FF7F7F7F"/>
      <name val="Calibri"/>
      <family val="2"/>
    </font>
    <font>
      <i/>
      <sz val="11"/>
      <color theme="1"/>
      <name val="Calibri"/>
      <family val="2"/>
      <scheme val="minor"/>
    </font>
    <font>
      <b/>
      <sz val="14"/>
      <color rgb="FF1F4E79"/>
      <name val="Calibri"/>
    </font>
    <font>
      <sz val="11"/>
      <color rgb="FF000000"/>
      <name val="Calibri"/>
    </font>
    <font>
      <b/>
      <sz val="11"/>
      <color rgb="FFFFFFFF"/>
      <name val="Calibri"/>
    </font>
    <font>
      <b/>
      <sz val="11"/>
      <name val="Calibri"/>
    </font>
  </fonts>
  <fills count="9">
    <fill>
      <patternFill patternType="none"/>
    </fill>
    <fill>
      <patternFill patternType="gray125"/>
    </fill>
    <fill>
      <patternFill patternType="solid">
        <fgColor rgb="FF2E75B6"/>
      </patternFill>
    </fill>
    <fill>
      <patternFill patternType="solid">
        <fgColor rgb="FF2E75B6"/>
      </patternFill>
    </fill>
    <fill>
      <patternFill patternType="solid">
        <fgColor rgb="FFF2F7FC"/>
      </patternFill>
    </fill>
    <fill>
      <patternFill patternType="solid">
        <fgColor theme="8" tint="0.79998168889431442"/>
        <bgColor indexed="64"/>
      </patternFill>
    </fill>
    <fill>
      <patternFill patternType="solid">
        <fgColor theme="6" tint="0.79998168889431442"/>
        <bgColor indexed="64"/>
      </patternFill>
    </fill>
    <fill>
      <patternFill patternType="solid">
        <fgColor rgb="FF2E75B6"/>
      </patternFill>
    </fill>
    <fill>
      <patternFill patternType="solid">
        <fgColor rgb="FFF2F7FC"/>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2" borderId="0" xfId="0" applyFont="1" applyFill="1"/>
    <xf numFmtId="0" fontId="2" fillId="0" borderId="0" xfId="0" applyFont="1"/>
    <xf numFmtId="0" fontId="0" fillId="0" borderId="0" xfId="0" applyAlignment="1">
      <alignment vertical="top" wrapText="1"/>
    </xf>
    <xf numFmtId="0" fontId="0" fillId="4" borderId="0" xfId="0" applyFill="1" applyAlignment="1">
      <alignment vertical="top" wrapText="1"/>
    </xf>
    <xf numFmtId="0" fontId="6" fillId="0" borderId="0" xfId="0" applyFont="1"/>
    <xf numFmtId="0" fontId="9" fillId="0" borderId="0" xfId="0" applyFont="1"/>
    <xf numFmtId="0" fontId="8" fillId="0" borderId="0" xfId="0" applyFont="1"/>
    <xf numFmtId="0" fontId="0" fillId="5" borderId="1" xfId="0" applyFill="1" applyBorder="1"/>
    <xf numFmtId="0" fontId="0" fillId="6" borderId="1" xfId="0" applyFill="1" applyBorder="1"/>
    <xf numFmtId="0" fontId="7" fillId="2" borderId="0" xfId="0" applyFont="1" applyFill="1"/>
    <xf numFmtId="0" fontId="0" fillId="0" borderId="0" xfId="0" applyAlignment="1">
      <alignment horizontal="left" vertical="top" wrapText="1"/>
    </xf>
    <xf numFmtId="0" fontId="11" fillId="0" borderId="0" xfId="0" applyFont="1" applyAlignment="1">
      <alignment vertical="top" wrapText="1"/>
    </xf>
    <xf numFmtId="0" fontId="0" fillId="8" borderId="0" xfId="0" applyFill="1" applyAlignment="1">
      <alignment vertical="top" wrapText="1"/>
    </xf>
    <xf numFmtId="0" fontId="10" fillId="0" borderId="0" xfId="0" applyFont="1" applyAlignment="1">
      <alignment wrapText="1"/>
    </xf>
    <xf numFmtId="0" fontId="12" fillId="7" borderId="0" xfId="0" applyFont="1" applyFill="1" applyAlignment="1">
      <alignment wrapText="1"/>
    </xf>
    <xf numFmtId="0" fontId="13" fillId="0" borderId="0" xfId="0" applyFont="1" applyAlignment="1">
      <alignment wrapText="1"/>
    </xf>
    <xf numFmtId="0" fontId="13" fillId="8" borderId="0" xfId="0" applyFont="1" applyFill="1" applyAlignment="1">
      <alignment wrapText="1"/>
    </xf>
    <xf numFmtId="0" fontId="0" fillId="0" borderId="0" xfId="0" applyAlignment="1">
      <alignment wrapText="1"/>
    </xf>
    <xf numFmtId="0" fontId="4" fillId="0" borderId="0" xfId="0" applyFont="1" applyAlignment="1">
      <alignment wrapText="1"/>
    </xf>
    <xf numFmtId="0" fontId="5" fillId="3" borderId="0" xfId="0" applyFont="1" applyFill="1" applyAlignment="1">
      <alignment wrapText="1"/>
    </xf>
    <xf numFmtId="0" fontId="7" fillId="3" borderId="0" xfId="0" applyFont="1" applyFill="1" applyAlignment="1">
      <alignment wrapText="1"/>
    </xf>
    <xf numFmtId="0" fontId="0" fillId="4" borderId="0" xfId="0" applyFill="1" applyAlignment="1">
      <alignment wrapText="1"/>
    </xf>
    <xf numFmtId="0" fontId="6" fillId="0" borderId="0" xfId="0" applyFont="1" applyAlignment="1">
      <alignment wrapText="1"/>
    </xf>
    <xf numFmtId="0" fontId="2" fillId="0" borderId="0" xfId="0" applyFont="1" applyAlignment="1">
      <alignment horizontal="left" vertical="top" wrapText="1"/>
    </xf>
    <xf numFmtId="0" fontId="0" fillId="0" borderId="0" xfId="0"/>
    <xf numFmtId="0" fontId="0" fillId="0" borderId="0" xfId="0" applyAlignment="1">
      <alignment horizontal="center" vertical="center"/>
    </xf>
    <xf numFmtId="0" fontId="2" fillId="0" borderId="0" xfId="0" applyFont="1" applyAlignment="1">
      <alignment horizontal="left" vertical="center"/>
    </xf>
    <xf numFmtId="0" fontId="3" fillId="0" borderId="0" xfId="0" applyFont="1" applyAlignment="1">
      <alignment vertical="top" wrapText="1"/>
    </xf>
    <xf numFmtId="0" fontId="0" fillId="0" borderId="0" xfId="0" applyAlignment="1">
      <alignment wrapText="1"/>
    </xf>
    <xf numFmtId="0" fontId="0" fillId="5" borderId="1" xfId="0" applyFill="1" applyBorder="1" applyAlignment="1">
      <alignment horizontal="center" vertical="center"/>
    </xf>
    <xf numFmtId="0" fontId="0" fillId="0" borderId="2" xfId="0" applyBorder="1"/>
    <xf numFmtId="0" fontId="0" fillId="0" borderId="3" xfId="0" applyBorder="1"/>
    <xf numFmtId="0" fontId="8" fillId="0" borderId="0" xfId="0" applyFont="1" applyAlignment="1">
      <alignment horizontal="left"/>
    </xf>
    <xf numFmtId="0" fontId="0" fillId="6" borderId="1" xfId="0" applyFill="1" applyBorder="1" applyAlignment="1">
      <alignment horizontal="center" vertical="center"/>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Bubble pictures found, percent of 54</a:t>
            </a:r>
          </a:p>
        </c:rich>
      </c:tx>
      <c:overlay val="1"/>
    </c:title>
    <c:autoTitleDeleted val="0"/>
    <c:plotArea>
      <c:layout>
        <c:manualLayout>
          <c:layoutTarget val="inner"/>
          <c:xMode val="edge"/>
          <c:yMode val="edge"/>
          <c:x val="1.4111111111111111E-2"/>
          <c:y val="2.743827160493827E-2"/>
          <c:w val="0.96119444444444446"/>
          <c:h val="0.91376543209876548"/>
        </c:manualLayout>
      </c:layout>
      <c:barChart>
        <c:barDir val="col"/>
        <c:grouping val="clustered"/>
        <c:varyColors val="1"/>
        <c:ser>
          <c:idx val="0"/>
          <c:order val="0"/>
          <c:tx>
            <c:strRef>
              <c:f>'Chart data'!$B$1</c:f>
              <c:strCache>
                <c:ptCount val="1"/>
                <c:pt idx="0">
                  <c:v>separate</c:v>
                </c:pt>
              </c:strCache>
            </c:strRef>
          </c:tx>
          <c:spPr>
            <a:ln>
              <a:prstDash val="solid"/>
            </a:ln>
          </c:spPr>
          <c:invertIfNegative val="1"/>
          <c:cat>
            <c:strRef>
              <c:f>'Chart data'!$A$2:$A$3</c:f>
              <c:strCache>
                <c:ptCount val="2"/>
                <c:pt idx="0">
                  <c:v>ResNet50</c:v>
                </c:pt>
                <c:pt idx="1">
                  <c:v>MultiLevel MultiScale</c:v>
                </c:pt>
              </c:strCache>
            </c:strRef>
          </c:cat>
          <c:val>
            <c:numRef>
              <c:f>'Chart data'!$B$2:$B$3</c:f>
              <c:numCache>
                <c:formatCode>General</c:formatCode>
                <c:ptCount val="2"/>
                <c:pt idx="0">
                  <c:v>42.6</c:v>
                </c:pt>
                <c:pt idx="1">
                  <c:v>55.6</c:v>
                </c:pt>
              </c:numCache>
            </c:numRef>
          </c:val>
          <c:extLst>
            <c:ext xmlns:c16="http://schemas.microsoft.com/office/drawing/2014/chart" uri="{C3380CC4-5D6E-409C-BE32-E72D297353CC}">
              <c16:uniqueId val="{00000000-4F0F-4900-B9CF-5D7EA2483AD4}"/>
            </c:ext>
          </c:extLst>
        </c:ser>
        <c:ser>
          <c:idx val="1"/>
          <c:order val="1"/>
          <c:tx>
            <c:strRef>
              <c:f>'Chart data'!$C$1</c:f>
              <c:strCache>
                <c:ptCount val="1"/>
                <c:pt idx="0">
                  <c:v>merged</c:v>
                </c:pt>
              </c:strCache>
            </c:strRef>
          </c:tx>
          <c:spPr>
            <a:ln>
              <a:prstDash val="solid"/>
            </a:ln>
          </c:spPr>
          <c:invertIfNegative val="1"/>
          <c:cat>
            <c:strRef>
              <c:f>'Chart data'!$A$2:$A$3</c:f>
              <c:strCache>
                <c:ptCount val="2"/>
                <c:pt idx="0">
                  <c:v>ResNet50</c:v>
                </c:pt>
                <c:pt idx="1">
                  <c:v>MultiLevel MultiScale</c:v>
                </c:pt>
              </c:strCache>
            </c:strRef>
          </c:cat>
          <c:val>
            <c:numRef>
              <c:f>'Chart data'!$C$2:$C$3</c:f>
              <c:numCache>
                <c:formatCode>General</c:formatCode>
                <c:ptCount val="2"/>
                <c:pt idx="0">
                  <c:v>66.7</c:v>
                </c:pt>
                <c:pt idx="1">
                  <c:v>64.8</c:v>
                </c:pt>
              </c:numCache>
            </c:numRef>
          </c:val>
          <c:extLst>
            <c:ext xmlns:c16="http://schemas.microsoft.com/office/drawing/2014/chart" uri="{C3380CC4-5D6E-409C-BE32-E72D297353CC}">
              <c16:uniqueId val="{00000001-4F0F-4900-B9CF-5D7EA2483AD4}"/>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Recall change from merging, points</a:t>
            </a:r>
          </a:p>
        </c:rich>
      </c:tx>
      <c:layout>
        <c:manualLayout>
          <c:xMode val="edge"/>
          <c:yMode val="edge"/>
          <c:x val="0.4055744172664954"/>
          <c:y val="1.5717089096094119E-2"/>
        </c:manualLayout>
      </c:layout>
      <c:overlay val="1"/>
    </c:title>
    <c:autoTitleDeleted val="0"/>
    <c:plotArea>
      <c:layout>
        <c:manualLayout>
          <c:layoutTarget val="inner"/>
          <c:xMode val="edge"/>
          <c:yMode val="edge"/>
          <c:x val="1.631442343344457E-2"/>
          <c:y val="6.6666666666666666E-2"/>
          <c:w val="0.96737115313311084"/>
          <c:h val="0.90144927536231889"/>
        </c:manualLayout>
      </c:layout>
      <c:barChart>
        <c:barDir val="col"/>
        <c:grouping val="clustered"/>
        <c:varyColors val="1"/>
        <c:ser>
          <c:idx val="0"/>
          <c:order val="0"/>
          <c:tx>
            <c:strRef>
              <c:f>'Chart data'!$B$5</c:f>
              <c:strCache>
                <c:ptCount val="1"/>
                <c:pt idx="0">
                  <c:v>ResNet50 change (points)</c:v>
                </c:pt>
              </c:strCache>
            </c:strRef>
          </c:tx>
          <c:spPr>
            <a:ln>
              <a:prstDash val="solid"/>
            </a:ln>
          </c:spPr>
          <c:invertIfNegative val="1"/>
          <c:cat>
            <c:strRef>
              <c:f>'Chart data'!$A$6:$A$25</c:f>
              <c:strCache>
                <c:ptCount val="20"/>
                <c:pt idx="0">
                  <c:v>The four bubble classes pooled</c:v>
                </c:pt>
                <c:pt idx="1">
                  <c:v>Clear</c:v>
                </c:pt>
                <c:pt idx="2">
                  <c:v>Fiber</c:v>
                </c:pt>
                <c:pt idx="3">
                  <c:v>Multiple Lenses</c:v>
                </c:pt>
                <c:pt idx="4">
                  <c:v>Bubble Cluster</c:v>
                </c:pt>
                <c:pt idx="5">
                  <c:v>Missing Lens</c:v>
                </c:pt>
                <c:pt idx="6">
                  <c:v>HEMA Fragment</c:v>
                </c:pt>
                <c:pt idx="7">
                  <c:v>Missing Primary Package</c:v>
                </c:pt>
                <c:pt idx="8">
                  <c:v>View Obstructed</c:v>
                </c:pt>
                <c:pt idx="9">
                  <c:v>Bubble Scatter</c:v>
                </c:pt>
                <c:pt idx="10">
                  <c:v>Dirty Strobe</c:v>
                </c:pt>
                <c:pt idx="11">
                  <c:v>HEMA Obstruction</c:v>
                </c:pt>
                <c:pt idx="12">
                  <c:v>Wet Package</c:v>
                </c:pt>
                <c:pt idx="13">
                  <c:v>Cavity Off Center</c:v>
                </c:pt>
                <c:pt idx="14">
                  <c:v>Extraneous Polymer</c:v>
                </c:pt>
                <c:pt idx="15">
                  <c:v>Dirty Camera</c:v>
                </c:pt>
                <c:pt idx="16">
                  <c:v>Package Misalignment</c:v>
                </c:pt>
                <c:pt idx="17">
                  <c:v>Low Dose Obstructing Region of Interest</c:v>
                </c:pt>
                <c:pt idx="18">
                  <c:v>Lens Off Center</c:v>
                </c:pt>
                <c:pt idx="19">
                  <c:v>Foreign Matter</c:v>
                </c:pt>
              </c:strCache>
            </c:strRef>
          </c:cat>
          <c:val>
            <c:numRef>
              <c:f>'Chart data'!$B$6:$B$25</c:f>
              <c:numCache>
                <c:formatCode>General</c:formatCode>
                <c:ptCount val="20"/>
                <c:pt idx="0">
                  <c:v>24.1</c:v>
                </c:pt>
                <c:pt idx="1">
                  <c:v>-3.9</c:v>
                </c:pt>
                <c:pt idx="2">
                  <c:v>-20.2</c:v>
                </c:pt>
                <c:pt idx="3">
                  <c:v>-1.4</c:v>
                </c:pt>
                <c:pt idx="4">
                  <c:v>-27.3</c:v>
                </c:pt>
                <c:pt idx="5">
                  <c:v>-2.1</c:v>
                </c:pt>
                <c:pt idx="6">
                  <c:v>-16.7</c:v>
                </c:pt>
                <c:pt idx="7">
                  <c:v>-0.2</c:v>
                </c:pt>
                <c:pt idx="8">
                  <c:v>-2.9</c:v>
                </c:pt>
                <c:pt idx="9">
                  <c:v>0</c:v>
                </c:pt>
                <c:pt idx="10">
                  <c:v>0</c:v>
                </c:pt>
                <c:pt idx="11">
                  <c:v>0</c:v>
                </c:pt>
                <c:pt idx="12">
                  <c:v>0</c:v>
                </c:pt>
                <c:pt idx="13">
                  <c:v>1.8</c:v>
                </c:pt>
                <c:pt idx="14">
                  <c:v>1.3</c:v>
                </c:pt>
                <c:pt idx="15">
                  <c:v>25</c:v>
                </c:pt>
                <c:pt idx="16">
                  <c:v>2.2999999999999998</c:v>
                </c:pt>
                <c:pt idx="17">
                  <c:v>0.5</c:v>
                </c:pt>
                <c:pt idx="18">
                  <c:v>5.2</c:v>
                </c:pt>
                <c:pt idx="19">
                  <c:v>9.4</c:v>
                </c:pt>
              </c:numCache>
            </c:numRef>
          </c:val>
          <c:extLst>
            <c:ext xmlns:c16="http://schemas.microsoft.com/office/drawing/2014/chart" uri="{C3380CC4-5D6E-409C-BE32-E72D297353CC}">
              <c16:uniqueId val="{00000000-83BA-433A-B1BB-3D950B0A5765}"/>
            </c:ext>
          </c:extLst>
        </c:ser>
        <c:ser>
          <c:idx val="1"/>
          <c:order val="1"/>
          <c:tx>
            <c:strRef>
              <c:f>'Chart data'!$C$5</c:f>
              <c:strCache>
                <c:ptCount val="1"/>
                <c:pt idx="0">
                  <c:v>MultiScale change (points)</c:v>
                </c:pt>
              </c:strCache>
            </c:strRef>
          </c:tx>
          <c:spPr>
            <a:ln>
              <a:prstDash val="solid"/>
            </a:ln>
          </c:spPr>
          <c:invertIfNegative val="1"/>
          <c:cat>
            <c:strRef>
              <c:f>'Chart data'!$A$6:$A$25</c:f>
              <c:strCache>
                <c:ptCount val="20"/>
                <c:pt idx="0">
                  <c:v>The four bubble classes pooled</c:v>
                </c:pt>
                <c:pt idx="1">
                  <c:v>Clear</c:v>
                </c:pt>
                <c:pt idx="2">
                  <c:v>Fiber</c:v>
                </c:pt>
                <c:pt idx="3">
                  <c:v>Multiple Lenses</c:v>
                </c:pt>
                <c:pt idx="4">
                  <c:v>Bubble Cluster</c:v>
                </c:pt>
                <c:pt idx="5">
                  <c:v>Missing Lens</c:v>
                </c:pt>
                <c:pt idx="6">
                  <c:v>HEMA Fragment</c:v>
                </c:pt>
                <c:pt idx="7">
                  <c:v>Missing Primary Package</c:v>
                </c:pt>
                <c:pt idx="8">
                  <c:v>View Obstructed</c:v>
                </c:pt>
                <c:pt idx="9">
                  <c:v>Bubble Scatter</c:v>
                </c:pt>
                <c:pt idx="10">
                  <c:v>Dirty Strobe</c:v>
                </c:pt>
                <c:pt idx="11">
                  <c:v>HEMA Obstruction</c:v>
                </c:pt>
                <c:pt idx="12">
                  <c:v>Wet Package</c:v>
                </c:pt>
                <c:pt idx="13">
                  <c:v>Cavity Off Center</c:v>
                </c:pt>
                <c:pt idx="14">
                  <c:v>Extraneous Polymer</c:v>
                </c:pt>
                <c:pt idx="15">
                  <c:v>Dirty Camera</c:v>
                </c:pt>
                <c:pt idx="16">
                  <c:v>Package Misalignment</c:v>
                </c:pt>
                <c:pt idx="17">
                  <c:v>Low Dose Obstructing Region of Interest</c:v>
                </c:pt>
                <c:pt idx="18">
                  <c:v>Lens Off Center</c:v>
                </c:pt>
                <c:pt idx="19">
                  <c:v>Foreign Matter</c:v>
                </c:pt>
              </c:strCache>
            </c:strRef>
          </c:cat>
          <c:val>
            <c:numRef>
              <c:f>'Chart data'!$C$6:$C$25</c:f>
              <c:numCache>
                <c:formatCode>General</c:formatCode>
                <c:ptCount val="20"/>
                <c:pt idx="0">
                  <c:v>9.3000000000000007</c:v>
                </c:pt>
                <c:pt idx="1">
                  <c:v>10.1</c:v>
                </c:pt>
                <c:pt idx="2">
                  <c:v>-10.1</c:v>
                </c:pt>
                <c:pt idx="3">
                  <c:v>-1.4</c:v>
                </c:pt>
                <c:pt idx="4">
                  <c:v>9.1</c:v>
                </c:pt>
                <c:pt idx="5">
                  <c:v>1</c:v>
                </c:pt>
                <c:pt idx="6">
                  <c:v>16.7</c:v>
                </c:pt>
                <c:pt idx="7">
                  <c:v>0</c:v>
                </c:pt>
                <c:pt idx="8">
                  <c:v>-5.7</c:v>
                </c:pt>
                <c:pt idx="9">
                  <c:v>50</c:v>
                </c:pt>
                <c:pt idx="10">
                  <c:v>0</c:v>
                </c:pt>
                <c:pt idx="11">
                  <c:v>19.600000000000001</c:v>
                </c:pt>
                <c:pt idx="12">
                  <c:v>0</c:v>
                </c:pt>
                <c:pt idx="13">
                  <c:v>5.5</c:v>
                </c:pt>
                <c:pt idx="14">
                  <c:v>-5</c:v>
                </c:pt>
                <c:pt idx="15">
                  <c:v>50</c:v>
                </c:pt>
                <c:pt idx="16">
                  <c:v>0</c:v>
                </c:pt>
                <c:pt idx="17">
                  <c:v>-0.3</c:v>
                </c:pt>
                <c:pt idx="18">
                  <c:v>1.3</c:v>
                </c:pt>
                <c:pt idx="19">
                  <c:v>-6.8</c:v>
                </c:pt>
              </c:numCache>
            </c:numRef>
          </c:val>
          <c:extLst>
            <c:ext xmlns:c16="http://schemas.microsoft.com/office/drawing/2014/chart" uri="{C3380CC4-5D6E-409C-BE32-E72D297353CC}">
              <c16:uniqueId val="{00000001-83BA-433A-B1BB-3D950B0A576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1567746479737262"/>
          <c:y val="6.6760089154259725E-2"/>
          <c:w val="0.185013035773198"/>
          <c:h val="0.1048284833960972"/>
        </c:manualLayout>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Correct answers gained or lost per class</a:t>
            </a:r>
          </a:p>
        </c:rich>
      </c:tx>
      <c:overlay val="1"/>
    </c:title>
    <c:autoTitleDeleted val="0"/>
    <c:plotArea>
      <c:layout>
        <c:manualLayout>
          <c:layoutTarget val="inner"/>
          <c:xMode val="edge"/>
          <c:yMode val="edge"/>
          <c:x val="0"/>
          <c:y val="8.6234567901234571E-2"/>
          <c:w val="0.96119444444444446"/>
          <c:h val="0.91376543209876548"/>
        </c:manualLayout>
      </c:layout>
      <c:barChart>
        <c:barDir val="col"/>
        <c:grouping val="clustered"/>
        <c:varyColors val="1"/>
        <c:ser>
          <c:idx val="0"/>
          <c:order val="0"/>
          <c:tx>
            <c:strRef>
              <c:f>'Chart data'!$B$27</c:f>
              <c:strCache>
                <c:ptCount val="1"/>
                <c:pt idx="0">
                  <c:v>ResNet50 net</c:v>
                </c:pt>
              </c:strCache>
            </c:strRef>
          </c:tx>
          <c:spPr>
            <a:ln>
              <a:prstDash val="solid"/>
            </a:ln>
          </c:spPr>
          <c:invertIfNegative val="1"/>
          <c:cat>
            <c:strRef>
              <c:f>'Chart data'!$A$28:$A$47</c:f>
              <c:strCache>
                <c:ptCount val="20"/>
                <c:pt idx="0">
                  <c:v>The four bubble classes pooled</c:v>
                </c:pt>
                <c:pt idx="1">
                  <c:v>Clear</c:v>
                </c:pt>
                <c:pt idx="2">
                  <c:v>Fiber</c:v>
                </c:pt>
                <c:pt idx="3">
                  <c:v>Multiple Lenses</c:v>
                </c:pt>
                <c:pt idx="4">
                  <c:v>Bubble Cluster</c:v>
                </c:pt>
                <c:pt idx="5">
                  <c:v>Missing Lens</c:v>
                </c:pt>
                <c:pt idx="6">
                  <c:v>HEMA Fragment</c:v>
                </c:pt>
                <c:pt idx="7">
                  <c:v>Missing Primary Package</c:v>
                </c:pt>
                <c:pt idx="8">
                  <c:v>View Obstructed</c:v>
                </c:pt>
                <c:pt idx="9">
                  <c:v>Bubble Scatter</c:v>
                </c:pt>
                <c:pt idx="10">
                  <c:v>Dirty Strobe</c:v>
                </c:pt>
                <c:pt idx="11">
                  <c:v>HEMA Obstruction</c:v>
                </c:pt>
                <c:pt idx="12">
                  <c:v>Wet Package</c:v>
                </c:pt>
                <c:pt idx="13">
                  <c:v>Cavity Off Center</c:v>
                </c:pt>
                <c:pt idx="14">
                  <c:v>Extraneous Polymer</c:v>
                </c:pt>
                <c:pt idx="15">
                  <c:v>Dirty Camera</c:v>
                </c:pt>
                <c:pt idx="16">
                  <c:v>Package Misalignment</c:v>
                </c:pt>
                <c:pt idx="17">
                  <c:v>Low Dose Obstructing Region of Interest</c:v>
                </c:pt>
                <c:pt idx="18">
                  <c:v>Lens Off Center</c:v>
                </c:pt>
                <c:pt idx="19">
                  <c:v>Foreign Matter</c:v>
                </c:pt>
              </c:strCache>
            </c:strRef>
          </c:cat>
          <c:val>
            <c:numRef>
              <c:f>'Chart data'!$B$28:$B$47</c:f>
              <c:numCache>
                <c:formatCode>General</c:formatCode>
                <c:ptCount val="20"/>
                <c:pt idx="0">
                  <c:v>12</c:v>
                </c:pt>
                <c:pt idx="1">
                  <c:v>-26</c:v>
                </c:pt>
                <c:pt idx="2">
                  <c:v>-20</c:v>
                </c:pt>
                <c:pt idx="3">
                  <c:v>-6</c:v>
                </c:pt>
                <c:pt idx="4">
                  <c:v>-3</c:v>
                </c:pt>
                <c:pt idx="5">
                  <c:v>-2</c:v>
                </c:pt>
                <c:pt idx="6">
                  <c:v>-1</c:v>
                </c:pt>
                <c:pt idx="7">
                  <c:v>-1</c:v>
                </c:pt>
                <c:pt idx="8">
                  <c:v>-1</c:v>
                </c:pt>
                <c:pt idx="9">
                  <c:v>0</c:v>
                </c:pt>
                <c:pt idx="10">
                  <c:v>0</c:v>
                </c:pt>
                <c:pt idx="11">
                  <c:v>0</c:v>
                </c:pt>
                <c:pt idx="12">
                  <c:v>0</c:v>
                </c:pt>
                <c:pt idx="13">
                  <c:v>1</c:v>
                </c:pt>
                <c:pt idx="14">
                  <c:v>1</c:v>
                </c:pt>
                <c:pt idx="15">
                  <c:v>2</c:v>
                </c:pt>
                <c:pt idx="16">
                  <c:v>2</c:v>
                </c:pt>
                <c:pt idx="17">
                  <c:v>3</c:v>
                </c:pt>
                <c:pt idx="18">
                  <c:v>4</c:v>
                </c:pt>
                <c:pt idx="19">
                  <c:v>36</c:v>
                </c:pt>
              </c:numCache>
            </c:numRef>
          </c:val>
          <c:extLst>
            <c:ext xmlns:c16="http://schemas.microsoft.com/office/drawing/2014/chart" uri="{C3380CC4-5D6E-409C-BE32-E72D297353CC}">
              <c16:uniqueId val="{00000000-7CD4-48B9-9904-0776E2E84143}"/>
            </c:ext>
          </c:extLst>
        </c:ser>
        <c:ser>
          <c:idx val="1"/>
          <c:order val="1"/>
          <c:tx>
            <c:strRef>
              <c:f>'Chart data'!$C$27</c:f>
              <c:strCache>
                <c:ptCount val="1"/>
                <c:pt idx="0">
                  <c:v>MultiScale net</c:v>
                </c:pt>
              </c:strCache>
            </c:strRef>
          </c:tx>
          <c:spPr>
            <a:ln>
              <a:prstDash val="solid"/>
            </a:ln>
          </c:spPr>
          <c:invertIfNegative val="1"/>
          <c:cat>
            <c:strRef>
              <c:f>'Chart data'!$A$28:$A$47</c:f>
              <c:strCache>
                <c:ptCount val="20"/>
                <c:pt idx="0">
                  <c:v>The four bubble classes pooled</c:v>
                </c:pt>
                <c:pt idx="1">
                  <c:v>Clear</c:v>
                </c:pt>
                <c:pt idx="2">
                  <c:v>Fiber</c:v>
                </c:pt>
                <c:pt idx="3">
                  <c:v>Multiple Lenses</c:v>
                </c:pt>
                <c:pt idx="4">
                  <c:v>Bubble Cluster</c:v>
                </c:pt>
                <c:pt idx="5">
                  <c:v>Missing Lens</c:v>
                </c:pt>
                <c:pt idx="6">
                  <c:v>HEMA Fragment</c:v>
                </c:pt>
                <c:pt idx="7">
                  <c:v>Missing Primary Package</c:v>
                </c:pt>
                <c:pt idx="8">
                  <c:v>View Obstructed</c:v>
                </c:pt>
                <c:pt idx="9">
                  <c:v>Bubble Scatter</c:v>
                </c:pt>
                <c:pt idx="10">
                  <c:v>Dirty Strobe</c:v>
                </c:pt>
                <c:pt idx="11">
                  <c:v>HEMA Obstruction</c:v>
                </c:pt>
                <c:pt idx="12">
                  <c:v>Wet Package</c:v>
                </c:pt>
                <c:pt idx="13">
                  <c:v>Cavity Off Center</c:v>
                </c:pt>
                <c:pt idx="14">
                  <c:v>Extraneous Polymer</c:v>
                </c:pt>
                <c:pt idx="15">
                  <c:v>Dirty Camera</c:v>
                </c:pt>
                <c:pt idx="16">
                  <c:v>Package Misalignment</c:v>
                </c:pt>
                <c:pt idx="17">
                  <c:v>Low Dose Obstructing Region of Interest</c:v>
                </c:pt>
                <c:pt idx="18">
                  <c:v>Lens Off Center</c:v>
                </c:pt>
                <c:pt idx="19">
                  <c:v>Foreign Matter</c:v>
                </c:pt>
              </c:strCache>
            </c:strRef>
          </c:cat>
          <c:val>
            <c:numRef>
              <c:f>'Chart data'!$C$28:$C$47</c:f>
              <c:numCache>
                <c:formatCode>General</c:formatCode>
                <c:ptCount val="20"/>
                <c:pt idx="0">
                  <c:v>2</c:v>
                </c:pt>
                <c:pt idx="1">
                  <c:v>67</c:v>
                </c:pt>
                <c:pt idx="2">
                  <c:v>-10</c:v>
                </c:pt>
                <c:pt idx="3">
                  <c:v>-6</c:v>
                </c:pt>
                <c:pt idx="4">
                  <c:v>1</c:v>
                </c:pt>
                <c:pt idx="5">
                  <c:v>1</c:v>
                </c:pt>
                <c:pt idx="6">
                  <c:v>1</c:v>
                </c:pt>
                <c:pt idx="7">
                  <c:v>0</c:v>
                </c:pt>
                <c:pt idx="8">
                  <c:v>-2</c:v>
                </c:pt>
                <c:pt idx="9">
                  <c:v>1</c:v>
                </c:pt>
                <c:pt idx="10">
                  <c:v>0</c:v>
                </c:pt>
                <c:pt idx="11">
                  <c:v>10</c:v>
                </c:pt>
                <c:pt idx="12">
                  <c:v>0</c:v>
                </c:pt>
                <c:pt idx="13">
                  <c:v>3</c:v>
                </c:pt>
                <c:pt idx="14">
                  <c:v>-4</c:v>
                </c:pt>
                <c:pt idx="15">
                  <c:v>4</c:v>
                </c:pt>
                <c:pt idx="16">
                  <c:v>0</c:v>
                </c:pt>
                <c:pt idx="17">
                  <c:v>-2</c:v>
                </c:pt>
                <c:pt idx="18">
                  <c:v>1</c:v>
                </c:pt>
                <c:pt idx="19">
                  <c:v>-26</c:v>
                </c:pt>
              </c:numCache>
            </c:numRef>
          </c:val>
          <c:extLst>
            <c:ext xmlns:c16="http://schemas.microsoft.com/office/drawing/2014/chart" uri="{C3380CC4-5D6E-409C-BE32-E72D297353CC}">
              <c16:uniqueId val="{00000001-7CD4-48B9-9904-0776E2E8414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600" b="1" i="0" strike="noStrike" kern="1200" cap="all" spc="120" normalizeH="0" baseline="0">
                <a:solidFill>
                  <a:schemeClr val="tx1">
                    <a:lumMod val="65000"/>
                    <a:lumOff val="35000"/>
                  </a:schemeClr>
                </a:solidFill>
                <a:latin typeface="+mn-lt"/>
                <a:ea typeface="+mn-ea"/>
                <a:cs typeface="+mn-cs"/>
              </a:defRPr>
            </a:pPr>
            <a:r>
              <a:rPr lang="en-US"/>
              <a:t>Pictures per class</a:t>
            </a:r>
          </a:p>
        </c:rich>
      </c:tx>
      <c:layout>
        <c:manualLayout>
          <c:xMode val="edge"/>
          <c:yMode val="edge"/>
          <c:x val="0.43887912724532557"/>
          <c:y val="2.668354699759359E-2"/>
        </c:manualLayout>
      </c:layout>
      <c:overlay val="1"/>
      <c:spPr>
        <a:noFill/>
        <a:ln>
          <a:noFill/>
          <a:prstDash val="solid"/>
        </a:ln>
      </c:spPr>
    </c:title>
    <c:autoTitleDeleted val="0"/>
    <c:plotArea>
      <c:layout>
        <c:manualLayout>
          <c:layoutTarget val="inner"/>
          <c:xMode val="edge"/>
          <c:yMode val="edge"/>
          <c:x val="8.3004659856887458E-3"/>
          <c:y val="8.3942992175031941E-2"/>
          <c:w val="0.98040094173685399"/>
          <c:h val="0.52785747817364481"/>
        </c:manualLayout>
      </c:layout>
      <c:barChart>
        <c:barDir val="col"/>
        <c:grouping val="clustered"/>
        <c:varyColors val="1"/>
        <c:ser>
          <c:idx val="0"/>
          <c:order val="0"/>
          <c:tx>
            <c:strRef>
              <c:f>'Image EDA'!$C$1</c:f>
              <c:strCache>
                <c:ptCount val="1"/>
                <c:pt idx="0">
                  <c:v>Pictures in the class</c:v>
                </c:pt>
              </c:strCache>
            </c:strRef>
          </c:tx>
          <c:spPr>
            <a:ln>
              <a:prstDash val="solid"/>
            </a:ln>
          </c:spPr>
          <c:invertIfNegative val="1"/>
          <c:dPt>
            <c:idx val="0"/>
            <c:invertIfNegative val="1"/>
            <c:bubble3D val="0"/>
            <c:spPr>
              <a:solidFill>
                <a:schemeClr val="accent1"/>
              </a:solidFill>
              <a:ln>
                <a:noFill/>
                <a:prstDash val="solid"/>
              </a:ln>
            </c:spPr>
            <c:extLst>
              <c:ext xmlns:c16="http://schemas.microsoft.com/office/drawing/2014/chart" uri="{C3380CC4-5D6E-409C-BE32-E72D297353CC}">
                <c16:uniqueId val="{00000001-A8ED-4D3C-8595-55254B3446E8}"/>
              </c:ext>
            </c:extLst>
          </c:dPt>
          <c:dPt>
            <c:idx val="1"/>
            <c:invertIfNegative val="1"/>
            <c:bubble3D val="0"/>
            <c:spPr>
              <a:solidFill>
                <a:schemeClr val="accent2"/>
              </a:solidFill>
              <a:ln>
                <a:noFill/>
                <a:prstDash val="solid"/>
              </a:ln>
            </c:spPr>
            <c:extLst>
              <c:ext xmlns:c16="http://schemas.microsoft.com/office/drawing/2014/chart" uri="{C3380CC4-5D6E-409C-BE32-E72D297353CC}">
                <c16:uniqueId val="{00000003-A8ED-4D3C-8595-55254B3446E8}"/>
              </c:ext>
            </c:extLst>
          </c:dPt>
          <c:dPt>
            <c:idx val="2"/>
            <c:invertIfNegative val="1"/>
            <c:bubble3D val="0"/>
            <c:spPr>
              <a:solidFill>
                <a:schemeClr val="accent3"/>
              </a:solidFill>
              <a:ln>
                <a:noFill/>
                <a:prstDash val="solid"/>
              </a:ln>
            </c:spPr>
            <c:extLst>
              <c:ext xmlns:c16="http://schemas.microsoft.com/office/drawing/2014/chart" uri="{C3380CC4-5D6E-409C-BE32-E72D297353CC}">
                <c16:uniqueId val="{00000005-A8ED-4D3C-8595-55254B3446E8}"/>
              </c:ext>
            </c:extLst>
          </c:dPt>
          <c:dPt>
            <c:idx val="3"/>
            <c:invertIfNegative val="1"/>
            <c:bubble3D val="0"/>
            <c:spPr>
              <a:solidFill>
                <a:schemeClr val="accent4"/>
              </a:solidFill>
              <a:ln>
                <a:noFill/>
                <a:prstDash val="solid"/>
              </a:ln>
            </c:spPr>
            <c:extLst>
              <c:ext xmlns:c16="http://schemas.microsoft.com/office/drawing/2014/chart" uri="{C3380CC4-5D6E-409C-BE32-E72D297353CC}">
                <c16:uniqueId val="{00000007-A8ED-4D3C-8595-55254B3446E8}"/>
              </c:ext>
            </c:extLst>
          </c:dPt>
          <c:dPt>
            <c:idx val="4"/>
            <c:invertIfNegative val="1"/>
            <c:bubble3D val="0"/>
            <c:spPr>
              <a:solidFill>
                <a:schemeClr val="accent5"/>
              </a:solidFill>
              <a:ln>
                <a:noFill/>
                <a:prstDash val="solid"/>
              </a:ln>
            </c:spPr>
            <c:extLst>
              <c:ext xmlns:c16="http://schemas.microsoft.com/office/drawing/2014/chart" uri="{C3380CC4-5D6E-409C-BE32-E72D297353CC}">
                <c16:uniqueId val="{00000009-A8ED-4D3C-8595-55254B3446E8}"/>
              </c:ext>
            </c:extLst>
          </c:dPt>
          <c:dPt>
            <c:idx val="5"/>
            <c:invertIfNegative val="1"/>
            <c:bubble3D val="0"/>
            <c:spPr>
              <a:solidFill>
                <a:schemeClr val="accent6"/>
              </a:solidFill>
              <a:ln>
                <a:noFill/>
                <a:prstDash val="solid"/>
              </a:ln>
            </c:spPr>
            <c:extLst>
              <c:ext xmlns:c16="http://schemas.microsoft.com/office/drawing/2014/chart" uri="{C3380CC4-5D6E-409C-BE32-E72D297353CC}">
                <c16:uniqueId val="{0000000B-A8ED-4D3C-8595-55254B3446E8}"/>
              </c:ext>
            </c:extLst>
          </c:dPt>
          <c:dPt>
            <c:idx val="6"/>
            <c:invertIfNegative val="1"/>
            <c:bubble3D val="0"/>
            <c:spPr>
              <a:solidFill>
                <a:schemeClr val="accent1">
                  <a:lumMod val="60000"/>
                </a:schemeClr>
              </a:solidFill>
              <a:ln>
                <a:noFill/>
                <a:prstDash val="solid"/>
              </a:ln>
            </c:spPr>
            <c:extLst>
              <c:ext xmlns:c16="http://schemas.microsoft.com/office/drawing/2014/chart" uri="{C3380CC4-5D6E-409C-BE32-E72D297353CC}">
                <c16:uniqueId val="{0000000D-A8ED-4D3C-8595-55254B3446E8}"/>
              </c:ext>
            </c:extLst>
          </c:dPt>
          <c:dPt>
            <c:idx val="7"/>
            <c:invertIfNegative val="1"/>
            <c:bubble3D val="0"/>
            <c:spPr>
              <a:solidFill>
                <a:schemeClr val="accent2">
                  <a:lumMod val="60000"/>
                </a:schemeClr>
              </a:solidFill>
              <a:ln>
                <a:noFill/>
                <a:prstDash val="solid"/>
              </a:ln>
            </c:spPr>
            <c:extLst>
              <c:ext xmlns:c16="http://schemas.microsoft.com/office/drawing/2014/chart" uri="{C3380CC4-5D6E-409C-BE32-E72D297353CC}">
                <c16:uniqueId val="{0000000F-A8ED-4D3C-8595-55254B3446E8}"/>
              </c:ext>
            </c:extLst>
          </c:dPt>
          <c:dPt>
            <c:idx val="8"/>
            <c:invertIfNegative val="1"/>
            <c:bubble3D val="0"/>
            <c:spPr>
              <a:solidFill>
                <a:schemeClr val="accent3">
                  <a:lumMod val="60000"/>
                </a:schemeClr>
              </a:solidFill>
              <a:ln>
                <a:noFill/>
                <a:prstDash val="solid"/>
              </a:ln>
            </c:spPr>
            <c:extLst>
              <c:ext xmlns:c16="http://schemas.microsoft.com/office/drawing/2014/chart" uri="{C3380CC4-5D6E-409C-BE32-E72D297353CC}">
                <c16:uniqueId val="{00000011-A8ED-4D3C-8595-55254B3446E8}"/>
              </c:ext>
            </c:extLst>
          </c:dPt>
          <c:dPt>
            <c:idx val="9"/>
            <c:invertIfNegative val="1"/>
            <c:bubble3D val="0"/>
            <c:spPr>
              <a:solidFill>
                <a:schemeClr val="accent4">
                  <a:lumMod val="60000"/>
                </a:schemeClr>
              </a:solidFill>
              <a:ln>
                <a:noFill/>
                <a:prstDash val="solid"/>
              </a:ln>
            </c:spPr>
            <c:extLst>
              <c:ext xmlns:c16="http://schemas.microsoft.com/office/drawing/2014/chart" uri="{C3380CC4-5D6E-409C-BE32-E72D297353CC}">
                <c16:uniqueId val="{00000013-A8ED-4D3C-8595-55254B3446E8}"/>
              </c:ext>
            </c:extLst>
          </c:dPt>
          <c:dPt>
            <c:idx val="10"/>
            <c:invertIfNegative val="1"/>
            <c:bubble3D val="0"/>
            <c:spPr>
              <a:solidFill>
                <a:schemeClr val="accent5">
                  <a:lumMod val="60000"/>
                </a:schemeClr>
              </a:solidFill>
              <a:ln>
                <a:noFill/>
                <a:prstDash val="solid"/>
              </a:ln>
            </c:spPr>
            <c:extLst>
              <c:ext xmlns:c16="http://schemas.microsoft.com/office/drawing/2014/chart" uri="{C3380CC4-5D6E-409C-BE32-E72D297353CC}">
                <c16:uniqueId val="{00000015-A8ED-4D3C-8595-55254B3446E8}"/>
              </c:ext>
            </c:extLst>
          </c:dPt>
          <c:dPt>
            <c:idx val="11"/>
            <c:invertIfNegative val="1"/>
            <c:bubble3D val="0"/>
            <c:spPr>
              <a:solidFill>
                <a:schemeClr val="accent6">
                  <a:lumMod val="60000"/>
                </a:schemeClr>
              </a:solidFill>
              <a:ln>
                <a:noFill/>
                <a:prstDash val="solid"/>
              </a:ln>
            </c:spPr>
            <c:extLst>
              <c:ext xmlns:c16="http://schemas.microsoft.com/office/drawing/2014/chart" uri="{C3380CC4-5D6E-409C-BE32-E72D297353CC}">
                <c16:uniqueId val="{00000017-A8ED-4D3C-8595-55254B3446E8}"/>
              </c:ext>
            </c:extLst>
          </c:dPt>
          <c:dPt>
            <c:idx val="12"/>
            <c:invertIfNegative val="1"/>
            <c:bubble3D val="0"/>
            <c:spPr>
              <a:solidFill>
                <a:schemeClr val="accent1">
                  <a:lumMod val="80000"/>
                  <a:lumOff val="20000"/>
                </a:schemeClr>
              </a:solidFill>
              <a:ln>
                <a:noFill/>
                <a:prstDash val="solid"/>
              </a:ln>
            </c:spPr>
            <c:extLst>
              <c:ext xmlns:c16="http://schemas.microsoft.com/office/drawing/2014/chart" uri="{C3380CC4-5D6E-409C-BE32-E72D297353CC}">
                <c16:uniqueId val="{00000019-A8ED-4D3C-8595-55254B3446E8}"/>
              </c:ext>
            </c:extLst>
          </c:dPt>
          <c:dPt>
            <c:idx val="13"/>
            <c:invertIfNegative val="1"/>
            <c:bubble3D val="0"/>
            <c:spPr>
              <a:solidFill>
                <a:schemeClr val="accent2">
                  <a:lumMod val="80000"/>
                  <a:lumOff val="20000"/>
                </a:schemeClr>
              </a:solidFill>
              <a:ln>
                <a:noFill/>
                <a:prstDash val="solid"/>
              </a:ln>
            </c:spPr>
            <c:extLst>
              <c:ext xmlns:c16="http://schemas.microsoft.com/office/drawing/2014/chart" uri="{C3380CC4-5D6E-409C-BE32-E72D297353CC}">
                <c16:uniqueId val="{0000001B-A8ED-4D3C-8595-55254B3446E8}"/>
              </c:ext>
            </c:extLst>
          </c:dPt>
          <c:dPt>
            <c:idx val="14"/>
            <c:invertIfNegative val="1"/>
            <c:bubble3D val="0"/>
            <c:spPr>
              <a:solidFill>
                <a:schemeClr val="accent3">
                  <a:lumMod val="80000"/>
                  <a:lumOff val="20000"/>
                </a:schemeClr>
              </a:solidFill>
              <a:ln>
                <a:noFill/>
                <a:prstDash val="solid"/>
              </a:ln>
            </c:spPr>
            <c:extLst>
              <c:ext xmlns:c16="http://schemas.microsoft.com/office/drawing/2014/chart" uri="{C3380CC4-5D6E-409C-BE32-E72D297353CC}">
                <c16:uniqueId val="{0000001D-A8ED-4D3C-8595-55254B3446E8}"/>
              </c:ext>
            </c:extLst>
          </c:dPt>
          <c:dPt>
            <c:idx val="15"/>
            <c:invertIfNegative val="1"/>
            <c:bubble3D val="0"/>
            <c:spPr>
              <a:solidFill>
                <a:schemeClr val="accent4">
                  <a:lumMod val="80000"/>
                  <a:lumOff val="20000"/>
                </a:schemeClr>
              </a:solidFill>
              <a:ln>
                <a:noFill/>
                <a:prstDash val="solid"/>
              </a:ln>
            </c:spPr>
            <c:extLst>
              <c:ext xmlns:c16="http://schemas.microsoft.com/office/drawing/2014/chart" uri="{C3380CC4-5D6E-409C-BE32-E72D297353CC}">
                <c16:uniqueId val="{0000001F-A8ED-4D3C-8595-55254B3446E8}"/>
              </c:ext>
            </c:extLst>
          </c:dPt>
          <c:dPt>
            <c:idx val="16"/>
            <c:invertIfNegative val="1"/>
            <c:bubble3D val="0"/>
            <c:spPr>
              <a:solidFill>
                <a:schemeClr val="accent5">
                  <a:lumMod val="80000"/>
                  <a:lumOff val="20000"/>
                </a:schemeClr>
              </a:solidFill>
              <a:ln>
                <a:noFill/>
                <a:prstDash val="solid"/>
              </a:ln>
            </c:spPr>
            <c:extLst>
              <c:ext xmlns:c16="http://schemas.microsoft.com/office/drawing/2014/chart" uri="{C3380CC4-5D6E-409C-BE32-E72D297353CC}">
                <c16:uniqueId val="{00000021-A8ED-4D3C-8595-55254B3446E8}"/>
              </c:ext>
            </c:extLst>
          </c:dPt>
          <c:dPt>
            <c:idx val="17"/>
            <c:invertIfNegative val="1"/>
            <c:bubble3D val="0"/>
            <c:spPr>
              <a:solidFill>
                <a:schemeClr val="accent6">
                  <a:lumMod val="80000"/>
                  <a:lumOff val="20000"/>
                </a:schemeClr>
              </a:solidFill>
              <a:ln>
                <a:noFill/>
                <a:prstDash val="solid"/>
              </a:ln>
            </c:spPr>
            <c:extLst>
              <c:ext xmlns:c16="http://schemas.microsoft.com/office/drawing/2014/chart" uri="{C3380CC4-5D6E-409C-BE32-E72D297353CC}">
                <c16:uniqueId val="{00000023-A8ED-4D3C-8595-55254B3446E8}"/>
              </c:ext>
            </c:extLst>
          </c:dPt>
          <c:dPt>
            <c:idx val="18"/>
            <c:invertIfNegative val="1"/>
            <c:bubble3D val="0"/>
            <c:spPr>
              <a:solidFill>
                <a:schemeClr val="accent1">
                  <a:lumMod val="80000"/>
                </a:schemeClr>
              </a:solidFill>
              <a:ln>
                <a:noFill/>
                <a:prstDash val="solid"/>
              </a:ln>
            </c:spPr>
            <c:extLst>
              <c:ext xmlns:c16="http://schemas.microsoft.com/office/drawing/2014/chart" uri="{C3380CC4-5D6E-409C-BE32-E72D297353CC}">
                <c16:uniqueId val="{00000025-A8ED-4D3C-8595-55254B3446E8}"/>
              </c:ext>
            </c:extLst>
          </c:dPt>
          <c:dPt>
            <c:idx val="19"/>
            <c:invertIfNegative val="1"/>
            <c:bubble3D val="0"/>
            <c:spPr>
              <a:solidFill>
                <a:schemeClr val="accent2">
                  <a:lumMod val="80000"/>
                </a:schemeClr>
              </a:solidFill>
              <a:ln>
                <a:noFill/>
                <a:prstDash val="solid"/>
              </a:ln>
            </c:spPr>
            <c:extLst>
              <c:ext xmlns:c16="http://schemas.microsoft.com/office/drawing/2014/chart" uri="{C3380CC4-5D6E-409C-BE32-E72D297353CC}">
                <c16:uniqueId val="{00000027-A8ED-4D3C-8595-55254B3446E8}"/>
              </c:ext>
            </c:extLst>
          </c:dPt>
          <c:dPt>
            <c:idx val="20"/>
            <c:invertIfNegative val="1"/>
            <c:bubble3D val="0"/>
            <c:spPr>
              <a:solidFill>
                <a:schemeClr val="accent3">
                  <a:lumMod val="80000"/>
                </a:schemeClr>
              </a:solidFill>
              <a:ln>
                <a:noFill/>
                <a:prstDash val="solid"/>
              </a:ln>
            </c:spPr>
            <c:extLst>
              <c:ext xmlns:c16="http://schemas.microsoft.com/office/drawing/2014/chart" uri="{C3380CC4-5D6E-409C-BE32-E72D297353CC}">
                <c16:uniqueId val="{00000029-A8ED-4D3C-8595-55254B3446E8}"/>
              </c:ext>
            </c:extLst>
          </c:dPt>
          <c:dPt>
            <c:idx val="21"/>
            <c:invertIfNegative val="1"/>
            <c:bubble3D val="0"/>
            <c:spPr>
              <a:solidFill>
                <a:schemeClr val="accent4">
                  <a:lumMod val="80000"/>
                </a:schemeClr>
              </a:solidFill>
              <a:ln>
                <a:noFill/>
                <a:prstDash val="solid"/>
              </a:ln>
            </c:spPr>
            <c:extLst>
              <c:ext xmlns:c16="http://schemas.microsoft.com/office/drawing/2014/chart" uri="{C3380CC4-5D6E-409C-BE32-E72D297353CC}">
                <c16:uniqueId val="{0000002B-A8ED-4D3C-8595-55254B3446E8}"/>
              </c:ext>
            </c:extLst>
          </c:dPt>
          <c:dPt>
            <c:idx val="22"/>
            <c:invertIfNegative val="1"/>
            <c:bubble3D val="0"/>
            <c:spPr>
              <a:solidFill>
                <a:schemeClr val="accent5">
                  <a:lumMod val="80000"/>
                </a:schemeClr>
              </a:solidFill>
              <a:ln>
                <a:noFill/>
                <a:prstDash val="solid"/>
              </a:ln>
            </c:spPr>
            <c:extLst>
              <c:ext xmlns:c16="http://schemas.microsoft.com/office/drawing/2014/chart" uri="{C3380CC4-5D6E-409C-BE32-E72D297353CC}">
                <c16:uniqueId val="{0000002D-A8ED-4D3C-8595-55254B3446E8}"/>
              </c:ext>
            </c:extLst>
          </c:dPt>
          <c:dLbls>
            <c:spPr>
              <a:noFill/>
              <a:ln>
                <a:noFill/>
                <a:prstDash val="solid"/>
              </a:ln>
            </c:spPr>
            <c:txPr>
              <a:bodyPr rot="-5400000" spcFirstLastPara="1" vertOverflow="clip" horzOverflow="clip" vert="horz" wrap="square" lIns="38100" tIns="19050" rIns="38100" bIns="19050" anchor="ctr" anchorCtr="1">
                <a:spAutoFit/>
              </a:bodyPr>
              <a:lstStyle/>
              <a:p>
                <a:pPr>
                  <a:defRPr sz="12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'Image EDA'!$A$2:$A$24</c:f>
              <c:strCache>
                <c:ptCount val="23"/>
                <c:pt idx="0">
                  <c:v>Clear</c:v>
                </c:pt>
                <c:pt idx="1">
                  <c:v>Low Dose Obstructing RoI</c:v>
                </c:pt>
                <c:pt idx="2">
                  <c:v>Multiple Lenses</c:v>
                </c:pt>
                <c:pt idx="3">
                  <c:v>Missing Primary Package</c:v>
                </c:pt>
                <c:pt idx="4">
                  <c:v>Missing Lens</c:v>
                </c:pt>
                <c:pt idx="5">
                  <c:v>Package Misalignment</c:v>
                </c:pt>
                <c:pt idx="6">
                  <c:v>Lens Off Center</c:v>
                </c:pt>
                <c:pt idx="7">
                  <c:v>Cavity Off Center</c:v>
                </c:pt>
                <c:pt idx="8">
                  <c:v>HEMA Obstruction</c:v>
                </c:pt>
                <c:pt idx="9">
                  <c:v>View Obstructed</c:v>
                </c:pt>
                <c:pt idx="10">
                  <c:v>Dirty Strobe</c:v>
                </c:pt>
                <c:pt idx="11">
                  <c:v>Dirty Camera</c:v>
                </c:pt>
                <c:pt idx="12">
                  <c:v>Bubble Scatter</c:v>
                </c:pt>
                <c:pt idx="13">
                  <c:v>Foreign Matter</c:v>
                </c:pt>
                <c:pt idx="14">
                  <c:v>Fiber</c:v>
                </c:pt>
                <c:pt idx="15">
                  <c:v>Extraneous Polymer</c:v>
                </c:pt>
                <c:pt idx="16">
                  <c:v>Bubble</c:v>
                </c:pt>
                <c:pt idx="17">
                  <c:v>Wet Package</c:v>
                </c:pt>
                <c:pt idx="18">
                  <c:v>Bubble Irregular</c:v>
                </c:pt>
                <c:pt idx="19">
                  <c:v>Bubble Cluster</c:v>
                </c:pt>
                <c:pt idx="20">
                  <c:v>HEMA Fragment</c:v>
                </c:pt>
                <c:pt idx="21">
                  <c:v>Bubble On 123</c:v>
                </c:pt>
                <c:pt idx="22">
                  <c:v>Bubble On Edge</c:v>
                </c:pt>
              </c:strCache>
            </c:strRef>
          </c:cat>
          <c:val>
            <c:numRef>
              <c:f>'Image EDA'!$C$2:$C$24</c:f>
              <c:numCache>
                <c:formatCode>General</c:formatCode>
                <c:ptCount val="23"/>
                <c:pt idx="0">
                  <c:v>2205</c:v>
                </c:pt>
                <c:pt idx="1">
                  <c:v>1951</c:v>
                </c:pt>
                <c:pt idx="2">
                  <c:v>1438</c:v>
                </c:pt>
                <c:pt idx="3">
                  <c:v>1427</c:v>
                </c:pt>
                <c:pt idx="4">
                  <c:v>324</c:v>
                </c:pt>
                <c:pt idx="5">
                  <c:v>293</c:v>
                </c:pt>
                <c:pt idx="6">
                  <c:v>258</c:v>
                </c:pt>
                <c:pt idx="7">
                  <c:v>183</c:v>
                </c:pt>
                <c:pt idx="8">
                  <c:v>171</c:v>
                </c:pt>
                <c:pt idx="9">
                  <c:v>117</c:v>
                </c:pt>
                <c:pt idx="10">
                  <c:v>43</c:v>
                </c:pt>
                <c:pt idx="11">
                  <c:v>25</c:v>
                </c:pt>
                <c:pt idx="12">
                  <c:v>7</c:v>
                </c:pt>
                <c:pt idx="13">
                  <c:v>1282</c:v>
                </c:pt>
                <c:pt idx="14">
                  <c:v>329</c:v>
                </c:pt>
                <c:pt idx="15">
                  <c:v>267</c:v>
                </c:pt>
                <c:pt idx="16">
                  <c:v>109</c:v>
                </c:pt>
                <c:pt idx="17">
                  <c:v>59</c:v>
                </c:pt>
                <c:pt idx="18">
                  <c:v>42</c:v>
                </c:pt>
                <c:pt idx="19">
                  <c:v>36</c:v>
                </c:pt>
                <c:pt idx="20">
                  <c:v>20</c:v>
                </c:pt>
                <c:pt idx="21">
                  <c:v>14</c:v>
                </c:pt>
                <c:pt idx="22">
                  <c:v>14</c:v>
                </c:pt>
              </c:numCache>
            </c:numRef>
          </c:val>
          <c:extLst>
            <c:ext xmlns:c16="http://schemas.microsoft.com/office/drawing/2014/chart" uri="{C3380CC4-5D6E-409C-BE32-E72D297353CC}">
              <c16:uniqueId val="{0000002E-A8ED-4D3C-8595-55254B3446E8}"/>
            </c:ext>
          </c:extLst>
        </c:ser>
        <c:dLbls>
          <c:dLblPos val="outEnd"/>
          <c:showLegendKey val="0"/>
          <c:showVal val="1"/>
          <c:showCatName val="0"/>
          <c:showSerName val="0"/>
          <c:showPercent val="0"/>
          <c:showBubbleSize val="0"/>
        </c:dLbls>
        <c:gapWidth val="217"/>
        <c:overlap val="-20"/>
        <c:axId val="10"/>
        <c:axId val="100"/>
      </c:barChart>
      <c:catAx>
        <c:axId val="1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legend>
      <c:legendPos val="t"/>
      <c:layout>
        <c:manualLayout>
          <c:xMode val="edge"/>
          <c:yMode val="edge"/>
          <c:x val="1.457840565377198E-2"/>
          <c:y val="0.83137484085749447"/>
          <c:w val="0.97545902741924095"/>
          <c:h val="0.14956593160686099"/>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320322</xdr:colOff>
      <xdr:row>7</xdr:row>
      <xdr:rowOff>60325</xdr:rowOff>
    </xdr:from>
    <xdr:ext cx="7200000" cy="32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35</xdr:row>
      <xdr:rowOff>92832</xdr:rowOff>
    </xdr:from>
    <xdr:ext cx="17931190" cy="4848226"/>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12</xdr:col>
      <xdr:colOff>466725</xdr:colOff>
      <xdr:row>11</xdr:row>
      <xdr:rowOff>95250</xdr:rowOff>
    </xdr:from>
    <xdr:ext cx="7200000" cy="32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29</xdr:row>
      <xdr:rowOff>73497</xdr:rowOff>
    </xdr:from>
    <xdr:ext cx="16897321" cy="6183923"/>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olAndSplit" displayName="PoolAndSplit" ref="A1:F24">
  <autoFilter ref="A1:F24" xr:uid="{00000000-0009-0000-0100-000001000000}"/>
  <tableColumns count="6">
    <tableColumn id="1" xr3:uid="{00000000-0010-0000-0000-000001000000}" name="Class"/>
    <tableColumn id="2" xr3:uid="{00000000-0010-0000-0000-000002000000}" name="Tag family"/>
    <tableColumn id="3" xr3:uid="{00000000-0010-0000-0000-000003000000}" name="Pictures in the class"/>
    <tableColumn id="4" xr3:uid="{00000000-0010-0000-0000-000004000000}" name="Training (70%)"/>
    <tableColumn id="5" xr3:uid="{00000000-0010-0000-0000-000005000000}" name="Test (30%)"/>
    <tableColumn id="6" xr3:uid="{00000000-0010-0000-0000-000006000000}" name="Pictures with the ta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102" workbookViewId="0">
      <selection activeCell="B9" sqref="B9"/>
    </sheetView>
  </sheetViews>
  <sheetFormatPr defaultRowHeight="15" x14ac:dyDescent="0.25"/>
  <cols>
    <col min="1" max="1" width="141.85546875" style="18" customWidth="1"/>
    <col min="2" max="2" width="109.140625" style="18" customWidth="1"/>
  </cols>
  <sheetData>
    <row r="1" spans="1:1" ht="18.75" x14ac:dyDescent="0.3">
      <c r="A1" s="14" t="s">
        <v>14</v>
      </c>
    </row>
    <row r="2" spans="1:1" ht="45" x14ac:dyDescent="0.25">
      <c r="A2" s="12" t="s">
        <v>15</v>
      </c>
    </row>
    <row r="4" spans="1:1" ht="18.75" x14ac:dyDescent="0.3">
      <c r="A4" s="14" t="s">
        <v>16</v>
      </c>
    </row>
    <row r="5" spans="1:1" ht="45" x14ac:dyDescent="0.25">
      <c r="A5" s="12" t="s">
        <v>17</v>
      </c>
    </row>
    <row r="7" spans="1:1" ht="18.75" x14ac:dyDescent="0.3">
      <c r="A7" s="14" t="s">
        <v>18</v>
      </c>
    </row>
    <row r="8" spans="1:1" ht="45" x14ac:dyDescent="0.25">
      <c r="A8" s="12" t="s">
        <v>19</v>
      </c>
    </row>
    <row r="9" spans="1:1" ht="30" x14ac:dyDescent="0.25">
      <c r="A9" s="12" t="s">
        <v>20</v>
      </c>
    </row>
    <row r="11" spans="1:1" ht="18.75" x14ac:dyDescent="0.3">
      <c r="A11" s="14" t="s">
        <v>21</v>
      </c>
    </row>
    <row r="12" spans="1:1" ht="30" x14ac:dyDescent="0.25">
      <c r="A12" s="12" t="s">
        <v>22</v>
      </c>
    </row>
    <row r="13" spans="1:1" ht="45" x14ac:dyDescent="0.25">
      <c r="A13" s="12" t="s">
        <v>23</v>
      </c>
    </row>
    <row r="15" spans="1:1" ht="18.75" x14ac:dyDescent="0.3">
      <c r="A15" s="14" t="s">
        <v>24</v>
      </c>
    </row>
    <row r="16" spans="1:1" ht="60" x14ac:dyDescent="0.25">
      <c r="A16" s="12" t="s">
        <v>25</v>
      </c>
    </row>
    <row r="18" spans="1:2" ht="18.75" x14ac:dyDescent="0.3">
      <c r="A18" s="14" t="s">
        <v>26</v>
      </c>
    </row>
    <row r="19" spans="1:2" ht="45" x14ac:dyDescent="0.25">
      <c r="A19" s="12" t="s">
        <v>27</v>
      </c>
    </row>
    <row r="20" spans="1:2" ht="30" x14ac:dyDescent="0.25">
      <c r="A20" s="12" t="s">
        <v>28</v>
      </c>
    </row>
    <row r="22" spans="1:2" ht="18.75" x14ac:dyDescent="0.3">
      <c r="A22" s="14" t="s">
        <v>29</v>
      </c>
    </row>
    <row r="23" spans="1:2" ht="30" x14ac:dyDescent="0.25">
      <c r="A23" s="12" t="s">
        <v>30</v>
      </c>
    </row>
    <row r="25" spans="1:2" x14ac:dyDescent="0.25">
      <c r="A25" s="15" t="s">
        <v>31</v>
      </c>
      <c r="B25" s="15" t="s">
        <v>32</v>
      </c>
    </row>
    <row r="26" spans="1:2" ht="30" x14ac:dyDescent="0.25">
      <c r="A26" s="16" t="s">
        <v>33</v>
      </c>
      <c r="B26" s="3" t="s">
        <v>34</v>
      </c>
    </row>
    <row r="27" spans="1:2" x14ac:dyDescent="0.25">
      <c r="A27" s="17" t="s">
        <v>35</v>
      </c>
      <c r="B27" s="13" t="s">
        <v>36</v>
      </c>
    </row>
    <row r="28" spans="1:2" ht="30" x14ac:dyDescent="0.25">
      <c r="A28" s="16" t="s">
        <v>37</v>
      </c>
      <c r="B28" s="3" t="s">
        <v>38</v>
      </c>
    </row>
    <row r="29" spans="1:2" x14ac:dyDescent="0.25">
      <c r="A29" s="17" t="s">
        <v>39</v>
      </c>
      <c r="B29" s="13" t="s">
        <v>40</v>
      </c>
    </row>
    <row r="30" spans="1:2" x14ac:dyDescent="0.25">
      <c r="A30" s="16" t="s">
        <v>41</v>
      </c>
      <c r="B30" s="3" t="s">
        <v>42</v>
      </c>
    </row>
    <row r="32" spans="1:2" ht="18.75" x14ac:dyDescent="0.3">
      <c r="A32" s="14" t="s">
        <v>43</v>
      </c>
    </row>
    <row r="33" spans="1:1" ht="45" x14ac:dyDescent="0.25">
      <c r="A33" s="12" t="s">
        <v>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zoomScale="123" workbookViewId="0">
      <pane ySplit="6" topLeftCell="A7" activePane="bottomLeft" state="frozen"/>
      <selection pane="bottomLeft" activeCell="B22" sqref="B22"/>
    </sheetView>
  </sheetViews>
  <sheetFormatPr defaultRowHeight="15" x14ac:dyDescent="0.25"/>
  <cols>
    <col min="1" max="1" width="22" customWidth="1"/>
    <col min="2" max="2" width="46" customWidth="1"/>
    <col min="3" max="3" width="17" customWidth="1"/>
    <col min="4" max="5" width="16" customWidth="1"/>
  </cols>
  <sheetData>
    <row r="1" spans="1:5" x14ac:dyDescent="0.25">
      <c r="A1" s="2" t="s">
        <v>0</v>
      </c>
    </row>
    <row r="2" spans="1:5" x14ac:dyDescent="0.25">
      <c r="A2" s="2" t="s">
        <v>1</v>
      </c>
    </row>
    <row r="3" spans="1:5" x14ac:dyDescent="0.25">
      <c r="A3" s="2" t="s">
        <v>2</v>
      </c>
    </row>
    <row r="4" spans="1:5" x14ac:dyDescent="0.25">
      <c r="A4" s="2" t="s">
        <v>3</v>
      </c>
    </row>
    <row r="6" spans="1:5" x14ac:dyDescent="0.25">
      <c r="A6" s="1" t="s">
        <v>4</v>
      </c>
      <c r="B6" s="1" t="s">
        <v>5</v>
      </c>
      <c r="C6" s="1" t="s">
        <v>6</v>
      </c>
      <c r="D6" s="1" t="s">
        <v>7</v>
      </c>
      <c r="E6" s="1" t="s">
        <v>8</v>
      </c>
    </row>
    <row r="7" spans="1:5" x14ac:dyDescent="0.25">
      <c r="A7" s="26" t="s">
        <v>9</v>
      </c>
      <c r="B7" t="s">
        <v>10</v>
      </c>
      <c r="C7">
        <v>86.2</v>
      </c>
      <c r="D7">
        <v>86.2</v>
      </c>
      <c r="E7">
        <v>0.1</v>
      </c>
    </row>
    <row r="8" spans="1:5" x14ac:dyDescent="0.25">
      <c r="A8" s="25"/>
      <c r="B8" t="s">
        <v>11</v>
      </c>
      <c r="C8">
        <v>68.7</v>
      </c>
      <c r="D8">
        <v>73.400000000000006</v>
      </c>
      <c r="E8">
        <v>4.7</v>
      </c>
    </row>
    <row r="9" spans="1:5" x14ac:dyDescent="0.25">
      <c r="A9" s="25"/>
      <c r="B9" t="s">
        <v>12</v>
      </c>
      <c r="C9">
        <v>23</v>
      </c>
      <c r="D9">
        <v>36</v>
      </c>
      <c r="E9">
        <v>13</v>
      </c>
    </row>
    <row r="10" spans="1:5" x14ac:dyDescent="0.25">
      <c r="A10" s="25"/>
      <c r="B10" t="s">
        <v>176</v>
      </c>
      <c r="C10" s="35">
        <v>0.42599999999999999</v>
      </c>
      <c r="D10" s="35">
        <v>0.66700000000000004</v>
      </c>
      <c r="E10">
        <v>24.1</v>
      </c>
    </row>
    <row r="11" spans="1:5" x14ac:dyDescent="0.25">
      <c r="A11" s="25"/>
      <c r="B11" t="s">
        <v>177</v>
      </c>
      <c r="C11" s="35">
        <v>0.44400000000000001</v>
      </c>
      <c r="D11" s="35">
        <v>0.66700000000000004</v>
      </c>
      <c r="E11">
        <v>22.2</v>
      </c>
    </row>
    <row r="12" spans="1:5" x14ac:dyDescent="0.25">
      <c r="A12" s="25"/>
      <c r="B12" t="s">
        <v>178</v>
      </c>
      <c r="C12" s="35">
        <v>0.67600000000000005</v>
      </c>
      <c r="D12" s="35">
        <v>0.51400000000000001</v>
      </c>
      <c r="E12">
        <v>-16.2</v>
      </c>
    </row>
    <row r="14" spans="1:5" x14ac:dyDescent="0.25">
      <c r="A14" s="26" t="s">
        <v>13</v>
      </c>
      <c r="B14" t="s">
        <v>10</v>
      </c>
      <c r="C14">
        <v>86.2</v>
      </c>
      <c r="D14">
        <v>87.5</v>
      </c>
      <c r="E14">
        <v>1.4</v>
      </c>
    </row>
    <row r="15" spans="1:5" x14ac:dyDescent="0.25">
      <c r="A15" s="25"/>
      <c r="B15" t="s">
        <v>11</v>
      </c>
      <c r="C15">
        <v>64.5</v>
      </c>
      <c r="D15">
        <v>75</v>
      </c>
      <c r="E15">
        <v>10.5</v>
      </c>
    </row>
    <row r="16" spans="1:5" x14ac:dyDescent="0.25">
      <c r="A16" s="25"/>
      <c r="B16" t="s">
        <v>12</v>
      </c>
      <c r="C16">
        <v>30</v>
      </c>
      <c r="D16">
        <v>35</v>
      </c>
      <c r="E16">
        <v>5</v>
      </c>
    </row>
    <row r="17" spans="1:5" x14ac:dyDescent="0.25">
      <c r="A17" s="25"/>
      <c r="B17" t="s">
        <v>176</v>
      </c>
      <c r="C17" s="35">
        <v>0.55600000000000005</v>
      </c>
      <c r="D17" s="35">
        <v>0.64800000000000002</v>
      </c>
      <c r="E17">
        <v>9.3000000000000007</v>
      </c>
    </row>
    <row r="18" spans="1:5" x14ac:dyDescent="0.25">
      <c r="A18" s="25"/>
      <c r="B18" t="s">
        <v>177</v>
      </c>
      <c r="C18" s="35">
        <v>0.61099999999999999</v>
      </c>
      <c r="D18" s="35">
        <v>0.64800000000000002</v>
      </c>
      <c r="E18">
        <v>3.7</v>
      </c>
    </row>
    <row r="19" spans="1:5" x14ac:dyDescent="0.25">
      <c r="A19" s="25"/>
      <c r="B19" t="s">
        <v>178</v>
      </c>
      <c r="C19" s="35">
        <v>0.50800000000000001</v>
      </c>
      <c r="D19" s="35">
        <v>0.64800000000000002</v>
      </c>
      <c r="E19">
        <v>14</v>
      </c>
    </row>
  </sheetData>
  <mergeCells count="2">
    <mergeCell ref="A14:A19"/>
    <mergeCell ref="A7:A12"/>
  </mergeCells>
  <conditionalFormatting sqref="E7:E22">
    <cfRule type="colorScale" priority="1">
      <colorScale>
        <cfvo type="min"/>
        <cfvo type="max"/>
        <color rgb="FFF8696B"/>
        <color rgb="FF63BE7B"/>
      </colorScale>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
  <sheetViews>
    <sheetView tabSelected="1" zoomScale="115" workbookViewId="0">
      <pane ySplit="1" topLeftCell="A2" activePane="bottomLeft" state="frozen"/>
      <selection sqref="A1:I1"/>
      <selection pane="bottomLeft" activeCell="A29" sqref="A29:I29"/>
    </sheetView>
  </sheetViews>
  <sheetFormatPr defaultRowHeight="15" x14ac:dyDescent="0.25"/>
  <cols>
    <col min="1" max="1" width="34" customWidth="1"/>
    <col min="2" max="2" width="12.42578125" bestFit="1" customWidth="1"/>
    <col min="3" max="3" width="18.140625" bestFit="1" customWidth="1"/>
    <col min="4" max="4" width="17.28515625" bestFit="1" customWidth="1"/>
    <col min="5" max="5" width="14.85546875" bestFit="1" customWidth="1"/>
    <col min="6" max="6" width="18.85546875" bestFit="1" customWidth="1"/>
    <col min="7" max="7" width="18" bestFit="1" customWidth="1"/>
    <col min="8" max="8" width="14.85546875" bestFit="1" customWidth="1"/>
    <col min="9" max="9" width="40" customWidth="1"/>
  </cols>
  <sheetData>
    <row r="1" spans="1:9" x14ac:dyDescent="0.25">
      <c r="A1" s="10" t="s">
        <v>45</v>
      </c>
      <c r="B1" s="10" t="s">
        <v>46</v>
      </c>
      <c r="C1" s="1" t="s">
        <v>47</v>
      </c>
      <c r="D1" s="1" t="s">
        <v>48</v>
      </c>
      <c r="E1" s="10" t="s">
        <v>49</v>
      </c>
      <c r="F1" s="1" t="s">
        <v>50</v>
      </c>
      <c r="G1" s="1" t="s">
        <v>51</v>
      </c>
      <c r="H1" s="10" t="s">
        <v>49</v>
      </c>
      <c r="I1" s="10" t="s">
        <v>52</v>
      </c>
    </row>
    <row r="2" spans="1:9" x14ac:dyDescent="0.25">
      <c r="A2" t="s">
        <v>53</v>
      </c>
      <c r="B2">
        <v>54</v>
      </c>
      <c r="C2">
        <v>42.6</v>
      </c>
      <c r="D2">
        <v>66.7</v>
      </c>
      <c r="E2">
        <v>24.1</v>
      </c>
      <c r="F2">
        <v>55.6</v>
      </c>
      <c r="G2">
        <v>64.8</v>
      </c>
      <c r="H2">
        <v>9.3000000000000007</v>
      </c>
      <c r="I2" t="s">
        <v>54</v>
      </c>
    </row>
    <row r="3" spans="1:9" x14ac:dyDescent="0.25">
      <c r="A3" t="s">
        <v>55</v>
      </c>
      <c r="B3">
        <v>11</v>
      </c>
      <c r="C3">
        <v>45.5</v>
      </c>
      <c r="D3">
        <v>18.2</v>
      </c>
      <c r="E3">
        <v>-27.3</v>
      </c>
      <c r="F3">
        <v>18.2</v>
      </c>
      <c r="G3">
        <v>27.3</v>
      </c>
      <c r="H3">
        <v>9.1</v>
      </c>
    </row>
    <row r="4" spans="1:9" x14ac:dyDescent="0.25">
      <c r="A4" t="s">
        <v>56</v>
      </c>
      <c r="B4">
        <v>13</v>
      </c>
      <c r="C4">
        <v>38.5</v>
      </c>
      <c r="F4">
        <v>38.5</v>
      </c>
      <c r="I4" t="s">
        <v>57</v>
      </c>
    </row>
    <row r="5" spans="1:9" x14ac:dyDescent="0.25">
      <c r="A5" t="s">
        <v>58</v>
      </c>
      <c r="B5">
        <v>4</v>
      </c>
      <c r="C5">
        <v>0</v>
      </c>
      <c r="F5">
        <v>25</v>
      </c>
      <c r="I5" t="s">
        <v>57</v>
      </c>
    </row>
    <row r="6" spans="1:9" x14ac:dyDescent="0.25">
      <c r="A6" t="s">
        <v>59</v>
      </c>
      <c r="B6">
        <v>4</v>
      </c>
      <c r="C6">
        <v>0</v>
      </c>
      <c r="F6">
        <v>0</v>
      </c>
      <c r="I6" t="s">
        <v>57</v>
      </c>
    </row>
    <row r="7" spans="1:9" x14ac:dyDescent="0.25">
      <c r="A7" t="s">
        <v>60</v>
      </c>
      <c r="B7">
        <v>2</v>
      </c>
      <c r="C7">
        <v>50</v>
      </c>
      <c r="D7">
        <v>50</v>
      </c>
      <c r="E7">
        <v>0</v>
      </c>
      <c r="F7">
        <v>0</v>
      </c>
      <c r="G7">
        <v>50</v>
      </c>
      <c r="H7">
        <v>50</v>
      </c>
    </row>
    <row r="8" spans="1:9" x14ac:dyDescent="0.25">
      <c r="A8" t="s">
        <v>61</v>
      </c>
      <c r="B8">
        <v>55</v>
      </c>
      <c r="C8">
        <v>98.2</v>
      </c>
      <c r="D8">
        <v>100</v>
      </c>
      <c r="E8">
        <v>1.8</v>
      </c>
      <c r="F8">
        <v>94.5</v>
      </c>
      <c r="G8">
        <v>100</v>
      </c>
      <c r="H8">
        <v>5.5</v>
      </c>
    </row>
    <row r="9" spans="1:9" x14ac:dyDescent="0.25">
      <c r="A9" t="s">
        <v>62</v>
      </c>
      <c r="B9">
        <v>662</v>
      </c>
      <c r="C9">
        <v>87.9</v>
      </c>
      <c r="D9">
        <v>84</v>
      </c>
      <c r="E9">
        <v>-3.9</v>
      </c>
      <c r="F9">
        <v>77.8</v>
      </c>
      <c r="G9">
        <v>87.9</v>
      </c>
      <c r="H9">
        <v>10.1</v>
      </c>
    </row>
    <row r="10" spans="1:9" x14ac:dyDescent="0.25">
      <c r="A10" t="s">
        <v>63</v>
      </c>
      <c r="B10">
        <v>8</v>
      </c>
      <c r="C10">
        <v>62.5</v>
      </c>
      <c r="D10">
        <v>87.5</v>
      </c>
      <c r="E10">
        <v>25</v>
      </c>
      <c r="F10">
        <v>37.5</v>
      </c>
      <c r="G10">
        <v>87.5</v>
      </c>
      <c r="H10">
        <v>50</v>
      </c>
    </row>
    <row r="11" spans="1:9" x14ac:dyDescent="0.25">
      <c r="A11" t="s">
        <v>64</v>
      </c>
      <c r="B11">
        <v>13</v>
      </c>
      <c r="C11">
        <v>100</v>
      </c>
      <c r="D11">
        <v>100</v>
      </c>
      <c r="E11">
        <v>0</v>
      </c>
      <c r="F11">
        <v>100</v>
      </c>
      <c r="G11">
        <v>100</v>
      </c>
      <c r="H11">
        <v>0</v>
      </c>
    </row>
    <row r="12" spans="1:9" x14ac:dyDescent="0.25">
      <c r="A12" t="s">
        <v>65</v>
      </c>
      <c r="B12">
        <v>80</v>
      </c>
      <c r="C12">
        <v>53.8</v>
      </c>
      <c r="D12">
        <v>55</v>
      </c>
      <c r="E12">
        <v>1.3</v>
      </c>
      <c r="F12">
        <v>48.8</v>
      </c>
      <c r="G12">
        <v>43.8</v>
      </c>
      <c r="H12">
        <v>-5</v>
      </c>
    </row>
    <row r="13" spans="1:9" x14ac:dyDescent="0.25">
      <c r="A13" t="s">
        <v>66</v>
      </c>
      <c r="B13">
        <v>99</v>
      </c>
      <c r="C13">
        <v>45.5</v>
      </c>
      <c r="D13">
        <v>25.3</v>
      </c>
      <c r="E13">
        <v>-20.2</v>
      </c>
      <c r="F13">
        <v>39.4</v>
      </c>
      <c r="G13">
        <v>29.3</v>
      </c>
      <c r="H13">
        <v>-10.1</v>
      </c>
    </row>
    <row r="14" spans="1:9" x14ac:dyDescent="0.25">
      <c r="A14" t="s">
        <v>67</v>
      </c>
      <c r="B14">
        <v>385</v>
      </c>
      <c r="C14">
        <v>60</v>
      </c>
      <c r="D14">
        <v>69.400000000000006</v>
      </c>
      <c r="E14">
        <v>9.4</v>
      </c>
      <c r="F14">
        <v>78.400000000000006</v>
      </c>
      <c r="G14">
        <v>71.7</v>
      </c>
      <c r="H14">
        <v>-6.8</v>
      </c>
    </row>
    <row r="15" spans="1:9" x14ac:dyDescent="0.25">
      <c r="A15" t="s">
        <v>68</v>
      </c>
      <c r="B15">
        <v>6</v>
      </c>
      <c r="C15">
        <v>16.7</v>
      </c>
      <c r="D15">
        <v>0</v>
      </c>
      <c r="E15">
        <v>-16.7</v>
      </c>
      <c r="F15">
        <v>0</v>
      </c>
      <c r="G15">
        <v>16.7</v>
      </c>
      <c r="H15">
        <v>16.7</v>
      </c>
    </row>
    <row r="16" spans="1:9" x14ac:dyDescent="0.25">
      <c r="A16" t="s">
        <v>69</v>
      </c>
      <c r="B16">
        <v>51</v>
      </c>
      <c r="C16">
        <v>94.1</v>
      </c>
      <c r="D16">
        <v>94.1</v>
      </c>
      <c r="E16">
        <v>0</v>
      </c>
      <c r="F16">
        <v>74.5</v>
      </c>
      <c r="G16">
        <v>94.1</v>
      </c>
      <c r="H16">
        <v>19.600000000000001</v>
      </c>
    </row>
    <row r="17" spans="1:9" x14ac:dyDescent="0.25">
      <c r="A17" t="s">
        <v>70</v>
      </c>
      <c r="B17">
        <v>77</v>
      </c>
      <c r="C17">
        <v>71.400000000000006</v>
      </c>
      <c r="D17">
        <v>76.599999999999994</v>
      </c>
      <c r="E17">
        <v>5.2</v>
      </c>
      <c r="F17">
        <v>77.900000000000006</v>
      </c>
      <c r="G17">
        <v>79.2</v>
      </c>
      <c r="H17">
        <v>1.3</v>
      </c>
    </row>
    <row r="18" spans="1:9" x14ac:dyDescent="0.25">
      <c r="A18" t="s">
        <v>71</v>
      </c>
      <c r="B18">
        <v>585</v>
      </c>
      <c r="C18">
        <v>95.9</v>
      </c>
      <c r="D18">
        <v>96.4</v>
      </c>
      <c r="E18">
        <v>0.5</v>
      </c>
      <c r="F18">
        <v>97.1</v>
      </c>
      <c r="G18">
        <v>96.8</v>
      </c>
      <c r="H18">
        <v>-0.3</v>
      </c>
    </row>
    <row r="19" spans="1:9" x14ac:dyDescent="0.25">
      <c r="A19" t="s">
        <v>72</v>
      </c>
      <c r="B19">
        <v>97</v>
      </c>
      <c r="C19">
        <v>99</v>
      </c>
      <c r="D19">
        <v>96.9</v>
      </c>
      <c r="E19">
        <v>-2.1</v>
      </c>
      <c r="F19">
        <v>96.9</v>
      </c>
      <c r="G19">
        <v>97.9</v>
      </c>
      <c r="H19">
        <v>1</v>
      </c>
    </row>
    <row r="20" spans="1:9" x14ac:dyDescent="0.25">
      <c r="A20" t="s">
        <v>73</v>
      </c>
      <c r="B20">
        <v>428</v>
      </c>
      <c r="C20">
        <v>100</v>
      </c>
      <c r="D20">
        <v>99.8</v>
      </c>
      <c r="E20">
        <v>-0.2</v>
      </c>
      <c r="F20">
        <v>100</v>
      </c>
      <c r="G20">
        <v>100</v>
      </c>
      <c r="H20">
        <v>0</v>
      </c>
    </row>
    <row r="21" spans="1:9" x14ac:dyDescent="0.25">
      <c r="A21" t="s">
        <v>74</v>
      </c>
      <c r="B21">
        <v>431</v>
      </c>
      <c r="C21">
        <v>97.9</v>
      </c>
      <c r="D21">
        <v>96.5</v>
      </c>
      <c r="E21">
        <v>-1.4</v>
      </c>
      <c r="F21">
        <v>99.3</v>
      </c>
      <c r="G21">
        <v>97.9</v>
      </c>
      <c r="H21">
        <v>-1.4</v>
      </c>
    </row>
    <row r="22" spans="1:9" x14ac:dyDescent="0.25">
      <c r="A22" t="s">
        <v>75</v>
      </c>
      <c r="B22">
        <v>88</v>
      </c>
      <c r="C22">
        <v>97.7</v>
      </c>
      <c r="D22">
        <v>100</v>
      </c>
      <c r="E22">
        <v>2.2999999999999998</v>
      </c>
      <c r="F22">
        <v>98.9</v>
      </c>
      <c r="G22">
        <v>98.9</v>
      </c>
      <c r="H22">
        <v>0</v>
      </c>
    </row>
    <row r="23" spans="1:9" x14ac:dyDescent="0.25">
      <c r="A23" t="s">
        <v>76</v>
      </c>
      <c r="B23">
        <v>35</v>
      </c>
      <c r="C23">
        <v>91.4</v>
      </c>
      <c r="D23">
        <v>88.6</v>
      </c>
      <c r="E23">
        <v>-2.9</v>
      </c>
      <c r="F23">
        <v>94.3</v>
      </c>
      <c r="G23">
        <v>88.6</v>
      </c>
      <c r="H23">
        <v>-5.7</v>
      </c>
    </row>
    <row r="24" spans="1:9" x14ac:dyDescent="0.25">
      <c r="A24" t="s">
        <v>77</v>
      </c>
      <c r="B24">
        <v>18</v>
      </c>
      <c r="C24">
        <v>72.2</v>
      </c>
      <c r="D24">
        <v>72.2</v>
      </c>
      <c r="E24">
        <v>0</v>
      </c>
      <c r="F24">
        <v>72.2</v>
      </c>
      <c r="G24">
        <v>72.2</v>
      </c>
      <c r="H24">
        <v>0</v>
      </c>
    </row>
    <row r="27" spans="1:9" x14ac:dyDescent="0.25">
      <c r="A27" s="27" t="s">
        <v>78</v>
      </c>
      <c r="B27" s="25"/>
      <c r="C27" s="25"/>
      <c r="D27" s="25"/>
      <c r="E27" s="25"/>
      <c r="F27" s="25"/>
      <c r="G27" s="25"/>
      <c r="H27" s="25"/>
      <c r="I27" s="25"/>
    </row>
    <row r="28" spans="1:9" x14ac:dyDescent="0.25">
      <c r="A28" s="27" t="s">
        <v>79</v>
      </c>
      <c r="B28" s="25"/>
      <c r="C28" s="25"/>
      <c r="D28" s="25"/>
      <c r="E28" s="25"/>
      <c r="F28" s="25"/>
      <c r="G28" s="25"/>
      <c r="H28" s="25"/>
      <c r="I28" s="25"/>
    </row>
    <row r="29" spans="1:9" x14ac:dyDescent="0.25">
      <c r="A29" s="27" t="s">
        <v>80</v>
      </c>
      <c r="B29" s="25"/>
      <c r="C29" s="25"/>
      <c r="D29" s="25"/>
      <c r="E29" s="25"/>
      <c r="F29" s="25"/>
      <c r="G29" s="25"/>
      <c r="H29" s="25"/>
      <c r="I29" s="25"/>
    </row>
    <row r="30" spans="1:9" x14ac:dyDescent="0.25">
      <c r="A30" s="27" t="s">
        <v>81</v>
      </c>
      <c r="B30" s="25"/>
      <c r="C30" s="25"/>
      <c r="D30" s="25"/>
      <c r="E30" s="25"/>
      <c r="F30" s="25"/>
      <c r="G30" s="25"/>
      <c r="H30" s="25"/>
      <c r="I30" s="25"/>
    </row>
  </sheetData>
  <mergeCells count="4">
    <mergeCell ref="A29:I29"/>
    <mergeCell ref="A28:I28"/>
    <mergeCell ref="A27:I27"/>
    <mergeCell ref="A30:I30"/>
  </mergeCells>
  <conditionalFormatting sqref="E2:E24">
    <cfRule type="colorScale" priority="1">
      <colorScale>
        <cfvo type="min"/>
        <cfvo type="max"/>
        <color rgb="FFF8696B"/>
        <color rgb="FF63BE7B"/>
      </colorScale>
    </cfRule>
  </conditionalFormatting>
  <conditionalFormatting sqref="H2:H24">
    <cfRule type="colorScale" priority="2">
      <colorScale>
        <cfvo type="min"/>
        <cfvo type="max"/>
        <color rgb="FFF8696B"/>
        <color rgb="FF63BE7B"/>
      </colorScale>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
  <sheetViews>
    <sheetView topLeftCell="A11" workbookViewId="0">
      <selection activeCell="A2" sqref="A2:I2"/>
    </sheetView>
  </sheetViews>
  <sheetFormatPr defaultRowHeight="15" x14ac:dyDescent="0.25"/>
  <cols>
    <col min="1" max="1" width="37.28515625" style="18" bestFit="1" customWidth="1"/>
    <col min="2" max="2" width="12" style="18" customWidth="1"/>
    <col min="3" max="3" width="14" style="18" customWidth="1"/>
    <col min="4" max="4" width="13" style="18" customWidth="1"/>
    <col min="5" max="6" width="9" style="18" customWidth="1"/>
    <col min="7" max="7" width="8" style="18" customWidth="1"/>
    <col min="8" max="9" width="34" style="18" customWidth="1"/>
    <col min="10" max="16384" width="9.140625" style="18"/>
  </cols>
  <sheetData>
    <row r="1" spans="1:9" x14ac:dyDescent="0.25">
      <c r="A1" s="28" t="s">
        <v>82</v>
      </c>
      <c r="B1" s="29"/>
      <c r="C1" s="29"/>
      <c r="D1" s="29"/>
      <c r="E1" s="29"/>
      <c r="F1" s="29"/>
      <c r="G1" s="29"/>
      <c r="H1" s="29"/>
      <c r="I1" s="29"/>
    </row>
    <row r="2" spans="1:9" x14ac:dyDescent="0.25">
      <c r="A2" s="28" t="s">
        <v>83</v>
      </c>
      <c r="B2" s="29"/>
      <c r="C2" s="29"/>
      <c r="D2" s="29"/>
      <c r="E2" s="29"/>
      <c r="F2" s="29"/>
      <c r="G2" s="29"/>
      <c r="H2" s="29"/>
      <c r="I2" s="29"/>
    </row>
    <row r="3" spans="1:9" ht="32.25" customHeight="1" x14ac:dyDescent="0.25">
      <c r="A3" s="28" t="s">
        <v>84</v>
      </c>
      <c r="B3" s="29"/>
      <c r="C3" s="29"/>
      <c r="D3" s="29"/>
      <c r="E3" s="29"/>
      <c r="F3" s="29"/>
      <c r="G3" s="29"/>
      <c r="H3" s="29"/>
      <c r="I3" s="29"/>
    </row>
    <row r="4" spans="1:9" x14ac:dyDescent="0.25">
      <c r="A4" s="28" t="s">
        <v>85</v>
      </c>
      <c r="B4" s="29"/>
      <c r="C4" s="29"/>
      <c r="D4" s="29"/>
      <c r="E4" s="29"/>
      <c r="F4" s="29"/>
      <c r="G4" s="29"/>
      <c r="H4" s="29"/>
      <c r="I4" s="29"/>
    </row>
    <row r="6" spans="1:9" x14ac:dyDescent="0.25">
      <c r="A6" s="19" t="s">
        <v>9</v>
      </c>
    </row>
    <row r="7" spans="1:9" x14ac:dyDescent="0.25">
      <c r="A7" s="20" t="s">
        <v>86</v>
      </c>
      <c r="B7" s="20" t="s">
        <v>87</v>
      </c>
      <c r="C7" s="20" t="s">
        <v>88</v>
      </c>
      <c r="D7" s="20" t="s">
        <v>89</v>
      </c>
      <c r="E7" s="20" t="s">
        <v>90</v>
      </c>
      <c r="F7" s="20" t="s">
        <v>91</v>
      </c>
      <c r="G7" s="21" t="s">
        <v>92</v>
      </c>
      <c r="H7" s="20" t="s">
        <v>93</v>
      </c>
      <c r="I7" s="20" t="s">
        <v>94</v>
      </c>
    </row>
    <row r="8" spans="1:9" ht="33.75" customHeight="1" x14ac:dyDescent="0.25">
      <c r="A8" s="18" t="s">
        <v>95</v>
      </c>
      <c r="B8" s="18">
        <v>54</v>
      </c>
      <c r="C8" s="18">
        <v>24</v>
      </c>
      <c r="D8" s="18">
        <v>36</v>
      </c>
      <c r="E8" s="18">
        <v>12</v>
      </c>
      <c r="F8" s="18">
        <v>0</v>
      </c>
      <c r="G8" s="18">
        <v>12</v>
      </c>
      <c r="H8" s="11" t="s">
        <v>96</v>
      </c>
      <c r="I8" s="3" t="s">
        <v>97</v>
      </c>
    </row>
    <row r="9" spans="1:9" x14ac:dyDescent="0.25">
      <c r="A9" s="22" t="s">
        <v>62</v>
      </c>
      <c r="B9" s="22">
        <v>662</v>
      </c>
      <c r="C9" s="22">
        <v>582</v>
      </c>
      <c r="D9" s="22">
        <v>556</v>
      </c>
      <c r="E9" s="22">
        <v>20</v>
      </c>
      <c r="F9" s="22">
        <v>46</v>
      </c>
      <c r="G9" s="22">
        <v>-26</v>
      </c>
      <c r="H9" s="4" t="s">
        <v>98</v>
      </c>
      <c r="I9" s="4" t="s">
        <v>99</v>
      </c>
    </row>
    <row r="10" spans="1:9" ht="30" customHeight="1" x14ac:dyDescent="0.25">
      <c r="A10" s="18" t="s">
        <v>66</v>
      </c>
      <c r="B10" s="18">
        <v>99</v>
      </c>
      <c r="C10" s="18">
        <v>45</v>
      </c>
      <c r="D10" s="18">
        <v>25</v>
      </c>
      <c r="E10" s="18">
        <v>7</v>
      </c>
      <c r="F10" s="18">
        <v>27</v>
      </c>
      <c r="G10" s="18">
        <v>-20</v>
      </c>
      <c r="H10" s="3" t="s">
        <v>100</v>
      </c>
      <c r="I10" s="3" t="s">
        <v>101</v>
      </c>
    </row>
    <row r="11" spans="1:9" ht="30" customHeight="1" x14ac:dyDescent="0.25">
      <c r="A11" s="22" t="s">
        <v>74</v>
      </c>
      <c r="B11" s="22">
        <v>431</v>
      </c>
      <c r="C11" s="22">
        <v>422</v>
      </c>
      <c r="D11" s="22">
        <v>416</v>
      </c>
      <c r="E11" s="22">
        <v>6</v>
      </c>
      <c r="F11" s="22">
        <v>12</v>
      </c>
      <c r="G11" s="22">
        <v>-6</v>
      </c>
      <c r="H11" s="4" t="s">
        <v>102</v>
      </c>
      <c r="I11" s="4" t="s">
        <v>103</v>
      </c>
    </row>
    <row r="12" spans="1:9" x14ac:dyDescent="0.25">
      <c r="A12" s="18" t="s">
        <v>55</v>
      </c>
      <c r="B12" s="18">
        <v>11</v>
      </c>
      <c r="C12" s="18">
        <v>5</v>
      </c>
      <c r="D12" s="18">
        <v>2</v>
      </c>
      <c r="E12" s="18">
        <v>0</v>
      </c>
      <c r="F12" s="18">
        <v>3</v>
      </c>
      <c r="G12" s="18">
        <v>-3</v>
      </c>
      <c r="H12" s="3"/>
      <c r="I12" s="3" t="s">
        <v>104</v>
      </c>
    </row>
    <row r="13" spans="1:9" ht="30" customHeight="1" x14ac:dyDescent="0.25">
      <c r="A13" s="22" t="s">
        <v>72</v>
      </c>
      <c r="B13" s="22">
        <v>97</v>
      </c>
      <c r="C13" s="22">
        <v>96</v>
      </c>
      <c r="D13" s="22">
        <v>94</v>
      </c>
      <c r="E13" s="22">
        <v>0</v>
      </c>
      <c r="F13" s="22">
        <v>2</v>
      </c>
      <c r="G13" s="22">
        <v>-2</v>
      </c>
      <c r="H13" s="4"/>
      <c r="I13" s="4" t="s">
        <v>105</v>
      </c>
    </row>
    <row r="14" spans="1:9" x14ac:dyDescent="0.25">
      <c r="A14" s="18" t="s">
        <v>68</v>
      </c>
      <c r="B14" s="18">
        <v>6</v>
      </c>
      <c r="C14" s="18">
        <v>1</v>
      </c>
      <c r="D14" s="18">
        <v>0</v>
      </c>
      <c r="E14" s="18">
        <v>0</v>
      </c>
      <c r="F14" s="18">
        <v>1</v>
      </c>
      <c r="G14" s="18">
        <v>-1</v>
      </c>
      <c r="H14" s="3"/>
      <c r="I14" s="3" t="s">
        <v>106</v>
      </c>
    </row>
    <row r="15" spans="1:9" x14ac:dyDescent="0.25">
      <c r="A15" s="22" t="s">
        <v>73</v>
      </c>
      <c r="B15" s="22">
        <v>428</v>
      </c>
      <c r="C15" s="22">
        <v>428</v>
      </c>
      <c r="D15" s="22">
        <v>427</v>
      </c>
      <c r="E15" s="22">
        <v>0</v>
      </c>
      <c r="F15" s="22">
        <v>1</v>
      </c>
      <c r="G15" s="22">
        <v>-1</v>
      </c>
      <c r="H15" s="4"/>
      <c r="I15" s="4" t="s">
        <v>107</v>
      </c>
    </row>
    <row r="16" spans="1:9" x14ac:dyDescent="0.25">
      <c r="A16" s="18" t="s">
        <v>76</v>
      </c>
      <c r="B16" s="18">
        <v>35</v>
      </c>
      <c r="C16" s="18">
        <v>32</v>
      </c>
      <c r="D16" s="18">
        <v>31</v>
      </c>
      <c r="E16" s="18">
        <v>0</v>
      </c>
      <c r="F16" s="18">
        <v>1</v>
      </c>
      <c r="G16" s="18">
        <v>-1</v>
      </c>
      <c r="H16" s="3"/>
      <c r="I16" s="3" t="s">
        <v>108</v>
      </c>
    </row>
    <row r="17" spans="1:9" x14ac:dyDescent="0.25">
      <c r="A17" s="22" t="s">
        <v>60</v>
      </c>
      <c r="B17" s="22">
        <v>2</v>
      </c>
      <c r="C17" s="22">
        <v>1</v>
      </c>
      <c r="D17" s="22">
        <v>1</v>
      </c>
      <c r="E17" s="22">
        <v>0</v>
      </c>
      <c r="F17" s="22">
        <v>0</v>
      </c>
      <c r="G17" s="22">
        <v>0</v>
      </c>
      <c r="H17" s="4"/>
      <c r="I17" s="4"/>
    </row>
    <row r="18" spans="1:9" x14ac:dyDescent="0.25">
      <c r="A18" s="18" t="s">
        <v>64</v>
      </c>
      <c r="B18" s="18">
        <v>13</v>
      </c>
      <c r="C18" s="18">
        <v>13</v>
      </c>
      <c r="D18" s="18">
        <v>13</v>
      </c>
      <c r="E18" s="18">
        <v>0</v>
      </c>
      <c r="F18" s="18">
        <v>0</v>
      </c>
      <c r="G18" s="18">
        <v>0</v>
      </c>
      <c r="H18" s="3"/>
      <c r="I18" s="3"/>
    </row>
    <row r="19" spans="1:9" x14ac:dyDescent="0.25">
      <c r="A19" s="22" t="s">
        <v>69</v>
      </c>
      <c r="B19" s="22">
        <v>51</v>
      </c>
      <c r="C19" s="22">
        <v>48</v>
      </c>
      <c r="D19" s="22">
        <v>48</v>
      </c>
      <c r="E19" s="22">
        <v>1</v>
      </c>
      <c r="F19" s="22">
        <v>1</v>
      </c>
      <c r="G19" s="22">
        <v>0</v>
      </c>
      <c r="H19" s="4" t="s">
        <v>109</v>
      </c>
      <c r="I19" s="4" t="s">
        <v>110</v>
      </c>
    </row>
    <row r="20" spans="1:9" x14ac:dyDescent="0.25">
      <c r="A20" s="18" t="s">
        <v>77</v>
      </c>
      <c r="B20" s="18">
        <v>18</v>
      </c>
      <c r="C20" s="18">
        <v>13</v>
      </c>
      <c r="D20" s="18">
        <v>13</v>
      </c>
      <c r="E20" s="18">
        <v>0</v>
      </c>
      <c r="F20" s="18">
        <v>0</v>
      </c>
      <c r="G20" s="18">
        <v>0</v>
      </c>
      <c r="H20" s="3"/>
      <c r="I20" s="3"/>
    </row>
    <row r="21" spans="1:9" x14ac:dyDescent="0.25">
      <c r="A21" s="22" t="s">
        <v>61</v>
      </c>
      <c r="B21" s="22">
        <v>55</v>
      </c>
      <c r="C21" s="22">
        <v>54</v>
      </c>
      <c r="D21" s="22">
        <v>55</v>
      </c>
      <c r="E21" s="22">
        <v>1</v>
      </c>
      <c r="F21" s="22">
        <v>0</v>
      </c>
      <c r="G21" s="22">
        <v>1</v>
      </c>
      <c r="H21" s="4" t="s">
        <v>109</v>
      </c>
      <c r="I21" s="4"/>
    </row>
    <row r="22" spans="1:9" x14ac:dyDescent="0.25">
      <c r="A22" s="18" t="s">
        <v>65</v>
      </c>
      <c r="B22" s="18">
        <v>80</v>
      </c>
      <c r="C22" s="18">
        <v>43</v>
      </c>
      <c r="D22" s="18">
        <v>44</v>
      </c>
      <c r="E22" s="18">
        <v>10</v>
      </c>
      <c r="F22" s="18">
        <v>9</v>
      </c>
      <c r="G22" s="18">
        <v>1</v>
      </c>
      <c r="H22" s="3" t="s">
        <v>111</v>
      </c>
      <c r="I22" s="3" t="s">
        <v>112</v>
      </c>
    </row>
    <row r="23" spans="1:9" x14ac:dyDescent="0.25">
      <c r="A23" s="22" t="s">
        <v>63</v>
      </c>
      <c r="B23" s="22">
        <v>8</v>
      </c>
      <c r="C23" s="22">
        <v>5</v>
      </c>
      <c r="D23" s="22">
        <v>7</v>
      </c>
      <c r="E23" s="22">
        <v>2</v>
      </c>
      <c r="F23" s="22">
        <v>0</v>
      </c>
      <c r="G23" s="22">
        <v>2</v>
      </c>
      <c r="H23" s="4" t="s">
        <v>113</v>
      </c>
      <c r="I23" s="4"/>
    </row>
    <row r="24" spans="1:9" ht="30" customHeight="1" x14ac:dyDescent="0.25">
      <c r="A24" s="18" t="s">
        <v>75</v>
      </c>
      <c r="B24" s="18">
        <v>88</v>
      </c>
      <c r="C24" s="18">
        <v>86</v>
      </c>
      <c r="D24" s="18">
        <v>88</v>
      </c>
      <c r="E24" s="18">
        <v>2</v>
      </c>
      <c r="F24" s="18">
        <v>0</v>
      </c>
      <c r="G24" s="18">
        <v>2</v>
      </c>
      <c r="H24" s="3" t="s">
        <v>114</v>
      </c>
      <c r="I24" s="3"/>
    </row>
    <row r="25" spans="1:9" ht="30" customHeight="1" x14ac:dyDescent="0.25">
      <c r="A25" s="22" t="s">
        <v>71</v>
      </c>
      <c r="B25" s="22">
        <v>585</v>
      </c>
      <c r="C25" s="22">
        <v>561</v>
      </c>
      <c r="D25" s="22">
        <v>564</v>
      </c>
      <c r="E25" s="22">
        <v>8</v>
      </c>
      <c r="F25" s="22">
        <v>5</v>
      </c>
      <c r="G25" s="22">
        <v>3</v>
      </c>
      <c r="H25" s="4" t="s">
        <v>115</v>
      </c>
      <c r="I25" s="4" t="s">
        <v>116</v>
      </c>
    </row>
    <row r="26" spans="1:9" ht="30" customHeight="1" x14ac:dyDescent="0.25">
      <c r="A26" s="18" t="s">
        <v>70</v>
      </c>
      <c r="B26" s="18">
        <v>77</v>
      </c>
      <c r="C26" s="18">
        <v>55</v>
      </c>
      <c r="D26" s="18">
        <v>59</v>
      </c>
      <c r="E26" s="18">
        <v>8</v>
      </c>
      <c r="F26" s="18">
        <v>4</v>
      </c>
      <c r="G26" s="18">
        <v>4</v>
      </c>
      <c r="H26" s="3" t="s">
        <v>117</v>
      </c>
      <c r="I26" s="3" t="s">
        <v>118</v>
      </c>
    </row>
    <row r="27" spans="1:9" x14ac:dyDescent="0.25">
      <c r="A27" s="22" t="s">
        <v>67</v>
      </c>
      <c r="B27" s="22">
        <v>385</v>
      </c>
      <c r="C27" s="22">
        <v>231</v>
      </c>
      <c r="D27" s="22">
        <v>267</v>
      </c>
      <c r="E27" s="22">
        <v>56</v>
      </c>
      <c r="F27" s="22">
        <v>20</v>
      </c>
      <c r="G27" s="22">
        <v>36</v>
      </c>
      <c r="H27" s="4" t="s">
        <v>119</v>
      </c>
      <c r="I27" s="4" t="s">
        <v>120</v>
      </c>
    </row>
    <row r="28" spans="1:9" ht="30" x14ac:dyDescent="0.25">
      <c r="A28" s="23" t="s">
        <v>121</v>
      </c>
      <c r="E28" s="23">
        <v>133</v>
      </c>
      <c r="F28" s="23">
        <v>132</v>
      </c>
      <c r="G28" s="23">
        <v>1</v>
      </c>
      <c r="H28" s="23" t="s">
        <v>122</v>
      </c>
    </row>
    <row r="30" spans="1:9" x14ac:dyDescent="0.25">
      <c r="A30" s="19" t="s">
        <v>13</v>
      </c>
    </row>
    <row r="31" spans="1:9" x14ac:dyDescent="0.25">
      <c r="A31" s="20" t="s">
        <v>86</v>
      </c>
      <c r="B31" s="20" t="s">
        <v>87</v>
      </c>
      <c r="C31" s="20" t="s">
        <v>88</v>
      </c>
      <c r="D31" s="20" t="s">
        <v>89</v>
      </c>
      <c r="E31" s="20" t="s">
        <v>90</v>
      </c>
      <c r="F31" s="20" t="s">
        <v>91</v>
      </c>
      <c r="G31" s="20" t="s">
        <v>92</v>
      </c>
      <c r="H31" s="20" t="s">
        <v>93</v>
      </c>
      <c r="I31" s="20" t="s">
        <v>94</v>
      </c>
    </row>
    <row r="32" spans="1:9" ht="45" customHeight="1" x14ac:dyDescent="0.25">
      <c r="A32" s="18" t="s">
        <v>95</v>
      </c>
      <c r="B32" s="18">
        <v>54</v>
      </c>
      <c r="C32" s="18">
        <v>33</v>
      </c>
      <c r="D32" s="18">
        <v>35</v>
      </c>
      <c r="E32" s="18">
        <v>2</v>
      </c>
      <c r="F32" s="18">
        <v>0</v>
      </c>
      <c r="G32" s="18">
        <v>2</v>
      </c>
      <c r="H32" s="3" t="s">
        <v>123</v>
      </c>
      <c r="I32" s="3" t="s">
        <v>124</v>
      </c>
    </row>
    <row r="33" spans="1:9" x14ac:dyDescent="0.25">
      <c r="A33" s="22" t="s">
        <v>67</v>
      </c>
      <c r="B33" s="22">
        <v>385</v>
      </c>
      <c r="C33" s="22">
        <v>302</v>
      </c>
      <c r="D33" s="22">
        <v>276</v>
      </c>
      <c r="E33" s="22">
        <v>23</v>
      </c>
      <c r="F33" s="22">
        <v>49</v>
      </c>
      <c r="G33" s="22">
        <v>-26</v>
      </c>
      <c r="H33" s="4" t="s">
        <v>125</v>
      </c>
      <c r="I33" s="4" t="s">
        <v>126</v>
      </c>
    </row>
    <row r="34" spans="1:9" ht="30" customHeight="1" x14ac:dyDescent="0.25">
      <c r="A34" s="18" t="s">
        <v>66</v>
      </c>
      <c r="B34" s="18">
        <v>99</v>
      </c>
      <c r="C34" s="18">
        <v>39</v>
      </c>
      <c r="D34" s="18">
        <v>29</v>
      </c>
      <c r="E34" s="18">
        <v>9</v>
      </c>
      <c r="F34" s="18">
        <v>19</v>
      </c>
      <c r="G34" s="18">
        <v>-10</v>
      </c>
      <c r="H34" s="3" t="s">
        <v>127</v>
      </c>
      <c r="I34" s="3" t="s">
        <v>128</v>
      </c>
    </row>
    <row r="35" spans="1:9" ht="30" customHeight="1" x14ac:dyDescent="0.25">
      <c r="A35" s="22" t="s">
        <v>74</v>
      </c>
      <c r="B35" s="22">
        <v>431</v>
      </c>
      <c r="C35" s="22">
        <v>428</v>
      </c>
      <c r="D35" s="22">
        <v>422</v>
      </c>
      <c r="E35" s="22">
        <v>3</v>
      </c>
      <c r="F35" s="22">
        <v>9</v>
      </c>
      <c r="G35" s="22">
        <v>-6</v>
      </c>
      <c r="H35" s="4" t="s">
        <v>129</v>
      </c>
      <c r="I35" s="4" t="s">
        <v>130</v>
      </c>
    </row>
    <row r="36" spans="1:9" ht="30" customHeight="1" x14ac:dyDescent="0.25">
      <c r="A36" s="18" t="s">
        <v>65</v>
      </c>
      <c r="B36" s="18">
        <v>80</v>
      </c>
      <c r="C36" s="18">
        <v>39</v>
      </c>
      <c r="D36" s="18">
        <v>35</v>
      </c>
      <c r="E36" s="18">
        <v>6</v>
      </c>
      <c r="F36" s="18">
        <v>10</v>
      </c>
      <c r="G36" s="18">
        <v>-4</v>
      </c>
      <c r="H36" s="3" t="s">
        <v>131</v>
      </c>
      <c r="I36" s="3" t="s">
        <v>132</v>
      </c>
    </row>
    <row r="37" spans="1:9" ht="30" customHeight="1" x14ac:dyDescent="0.25">
      <c r="A37" s="22" t="s">
        <v>71</v>
      </c>
      <c r="B37" s="22">
        <v>585</v>
      </c>
      <c r="C37" s="22">
        <v>568</v>
      </c>
      <c r="D37" s="22">
        <v>566</v>
      </c>
      <c r="E37" s="22">
        <v>6</v>
      </c>
      <c r="F37" s="22">
        <v>8</v>
      </c>
      <c r="G37" s="22">
        <v>-2</v>
      </c>
      <c r="H37" s="4" t="s">
        <v>133</v>
      </c>
      <c r="I37" s="4" t="s">
        <v>134</v>
      </c>
    </row>
    <row r="38" spans="1:9" x14ac:dyDescent="0.25">
      <c r="A38" s="18" t="s">
        <v>76</v>
      </c>
      <c r="B38" s="18">
        <v>35</v>
      </c>
      <c r="C38" s="18">
        <v>33</v>
      </c>
      <c r="D38" s="18">
        <v>31</v>
      </c>
      <c r="E38" s="18">
        <v>0</v>
      </c>
      <c r="F38" s="18">
        <v>2</v>
      </c>
      <c r="G38" s="18">
        <v>-2</v>
      </c>
      <c r="H38" s="3"/>
      <c r="I38" s="3" t="s">
        <v>135</v>
      </c>
    </row>
    <row r="39" spans="1:9" x14ac:dyDescent="0.25">
      <c r="A39" s="22" t="s">
        <v>64</v>
      </c>
      <c r="B39" s="22">
        <v>13</v>
      </c>
      <c r="C39" s="22">
        <v>13</v>
      </c>
      <c r="D39" s="22">
        <v>13</v>
      </c>
      <c r="E39" s="22">
        <v>0</v>
      </c>
      <c r="F39" s="22">
        <v>0</v>
      </c>
      <c r="G39" s="22">
        <v>0</v>
      </c>
      <c r="H39" s="4"/>
      <c r="I39" s="4"/>
    </row>
    <row r="40" spans="1:9" x14ac:dyDescent="0.25">
      <c r="A40" s="18" t="s">
        <v>73</v>
      </c>
      <c r="B40" s="18">
        <v>428</v>
      </c>
      <c r="C40" s="18">
        <v>428</v>
      </c>
      <c r="D40" s="18">
        <v>428</v>
      </c>
      <c r="E40" s="18">
        <v>0</v>
      </c>
      <c r="F40" s="18">
        <v>0</v>
      </c>
      <c r="G40" s="18">
        <v>0</v>
      </c>
      <c r="H40" s="3"/>
      <c r="I40" s="3"/>
    </row>
    <row r="41" spans="1:9" x14ac:dyDescent="0.25">
      <c r="A41" s="22" t="s">
        <v>75</v>
      </c>
      <c r="B41" s="22">
        <v>88</v>
      </c>
      <c r="C41" s="22">
        <v>87</v>
      </c>
      <c r="D41" s="22">
        <v>87</v>
      </c>
      <c r="E41" s="22">
        <v>0</v>
      </c>
      <c r="F41" s="22">
        <v>0</v>
      </c>
      <c r="G41" s="22">
        <v>0</v>
      </c>
      <c r="H41" s="4"/>
      <c r="I41" s="4"/>
    </row>
    <row r="42" spans="1:9" x14ac:dyDescent="0.25">
      <c r="A42" s="18" t="s">
        <v>77</v>
      </c>
      <c r="B42" s="18">
        <v>18</v>
      </c>
      <c r="C42" s="18">
        <v>13</v>
      </c>
      <c r="D42" s="18">
        <v>13</v>
      </c>
      <c r="E42" s="18">
        <v>0</v>
      </c>
      <c r="F42" s="18">
        <v>0</v>
      </c>
      <c r="G42" s="18">
        <v>0</v>
      </c>
      <c r="H42" s="3"/>
      <c r="I42" s="3"/>
    </row>
    <row r="43" spans="1:9" x14ac:dyDescent="0.25">
      <c r="A43" s="22" t="s">
        <v>55</v>
      </c>
      <c r="B43" s="22">
        <v>11</v>
      </c>
      <c r="C43" s="22">
        <v>2</v>
      </c>
      <c r="D43" s="22">
        <v>3</v>
      </c>
      <c r="E43" s="22">
        <v>3</v>
      </c>
      <c r="F43" s="22">
        <v>2</v>
      </c>
      <c r="G43" s="22">
        <v>1</v>
      </c>
      <c r="H43" s="4" t="s">
        <v>136</v>
      </c>
      <c r="I43" s="4" t="s">
        <v>137</v>
      </c>
    </row>
    <row r="44" spans="1:9" x14ac:dyDescent="0.25">
      <c r="A44" s="18" t="s">
        <v>60</v>
      </c>
      <c r="B44" s="18">
        <v>2</v>
      </c>
      <c r="C44" s="18">
        <v>0</v>
      </c>
      <c r="D44" s="18">
        <v>1</v>
      </c>
      <c r="E44" s="18">
        <v>1</v>
      </c>
      <c r="F44" s="18">
        <v>0</v>
      </c>
      <c r="G44" s="18">
        <v>1</v>
      </c>
      <c r="H44" s="3" t="s">
        <v>138</v>
      </c>
      <c r="I44" s="3"/>
    </row>
    <row r="45" spans="1:9" x14ac:dyDescent="0.25">
      <c r="A45" s="22" t="s">
        <v>68</v>
      </c>
      <c r="B45" s="22">
        <v>6</v>
      </c>
      <c r="C45" s="22">
        <v>0</v>
      </c>
      <c r="D45" s="22">
        <v>1</v>
      </c>
      <c r="E45" s="22">
        <v>1</v>
      </c>
      <c r="F45" s="22">
        <v>0</v>
      </c>
      <c r="G45" s="22">
        <v>1</v>
      </c>
      <c r="H45" s="4" t="s">
        <v>139</v>
      </c>
      <c r="I45" s="4"/>
    </row>
    <row r="46" spans="1:9" ht="30" customHeight="1" x14ac:dyDescent="0.25">
      <c r="A46" s="18" t="s">
        <v>70</v>
      </c>
      <c r="B46" s="18">
        <v>77</v>
      </c>
      <c r="C46" s="18">
        <v>60</v>
      </c>
      <c r="D46" s="18">
        <v>61</v>
      </c>
      <c r="E46" s="18">
        <v>3</v>
      </c>
      <c r="F46" s="18">
        <v>2</v>
      </c>
      <c r="G46" s="18">
        <v>1</v>
      </c>
      <c r="H46" s="3" t="s">
        <v>140</v>
      </c>
      <c r="I46" s="3" t="s">
        <v>141</v>
      </c>
    </row>
    <row r="47" spans="1:9" x14ac:dyDescent="0.25">
      <c r="A47" s="22" t="s">
        <v>72</v>
      </c>
      <c r="B47" s="22">
        <v>97</v>
      </c>
      <c r="C47" s="22">
        <v>94</v>
      </c>
      <c r="D47" s="22">
        <v>95</v>
      </c>
      <c r="E47" s="22">
        <v>1</v>
      </c>
      <c r="F47" s="22">
        <v>0</v>
      </c>
      <c r="G47" s="22">
        <v>1</v>
      </c>
      <c r="H47" s="4" t="s">
        <v>109</v>
      </c>
      <c r="I47" s="4"/>
    </row>
    <row r="48" spans="1:9" ht="30" customHeight="1" x14ac:dyDescent="0.25">
      <c r="A48" s="18" t="s">
        <v>61</v>
      </c>
      <c r="B48" s="18">
        <v>55</v>
      </c>
      <c r="C48" s="18">
        <v>52</v>
      </c>
      <c r="D48" s="18">
        <v>55</v>
      </c>
      <c r="E48" s="18">
        <v>3</v>
      </c>
      <c r="F48" s="18">
        <v>0</v>
      </c>
      <c r="G48" s="18">
        <v>3</v>
      </c>
      <c r="H48" s="3" t="s">
        <v>142</v>
      </c>
      <c r="I48" s="3"/>
    </row>
    <row r="49" spans="1:9" ht="30" customHeight="1" x14ac:dyDescent="0.25">
      <c r="A49" s="22" t="s">
        <v>63</v>
      </c>
      <c r="B49" s="22">
        <v>8</v>
      </c>
      <c r="C49" s="22">
        <v>3</v>
      </c>
      <c r="D49" s="22">
        <v>7</v>
      </c>
      <c r="E49" s="22">
        <v>4</v>
      </c>
      <c r="F49" s="22">
        <v>0</v>
      </c>
      <c r="G49" s="22">
        <v>4</v>
      </c>
      <c r="H49" s="4" t="s">
        <v>143</v>
      </c>
      <c r="I49" s="4"/>
    </row>
    <row r="50" spans="1:9" x14ac:dyDescent="0.25">
      <c r="A50" s="18" t="s">
        <v>69</v>
      </c>
      <c r="B50" s="18">
        <v>51</v>
      </c>
      <c r="C50" s="18">
        <v>38</v>
      </c>
      <c r="D50" s="18">
        <v>48</v>
      </c>
      <c r="E50" s="18">
        <v>10</v>
      </c>
      <c r="F50" s="18">
        <v>0</v>
      </c>
      <c r="G50" s="18">
        <v>10</v>
      </c>
      <c r="H50" s="3" t="s">
        <v>144</v>
      </c>
      <c r="I50" s="3"/>
    </row>
    <row r="51" spans="1:9" ht="30" customHeight="1" x14ac:dyDescent="0.25">
      <c r="A51" s="22" t="s">
        <v>62</v>
      </c>
      <c r="B51" s="22">
        <v>662</v>
      </c>
      <c r="C51" s="22">
        <v>515</v>
      </c>
      <c r="D51" s="22">
        <v>582</v>
      </c>
      <c r="E51" s="22">
        <v>73</v>
      </c>
      <c r="F51" s="22">
        <v>6</v>
      </c>
      <c r="G51" s="22">
        <v>67</v>
      </c>
      <c r="H51" s="4" t="s">
        <v>145</v>
      </c>
      <c r="I51" s="4" t="s">
        <v>146</v>
      </c>
    </row>
    <row r="52" spans="1:9" ht="30" x14ac:dyDescent="0.25">
      <c r="A52" s="23" t="s">
        <v>121</v>
      </c>
      <c r="E52" s="23">
        <v>148</v>
      </c>
      <c r="F52" s="23">
        <v>107</v>
      </c>
      <c r="G52" s="23">
        <v>41</v>
      </c>
      <c r="H52" s="23" t="s">
        <v>147</v>
      </c>
    </row>
  </sheetData>
  <mergeCells count="4">
    <mergeCell ref="A1:I1"/>
    <mergeCell ref="A4:I4"/>
    <mergeCell ref="A2:I2"/>
    <mergeCell ref="A3:I3"/>
  </mergeCells>
  <conditionalFormatting sqref="G8:G27">
    <cfRule type="colorScale" priority="1">
      <colorScale>
        <cfvo type="min"/>
        <cfvo type="max"/>
        <color rgb="FFF8696B"/>
        <color rgb="FF63BE7B"/>
      </colorScale>
    </cfRule>
  </conditionalFormatting>
  <conditionalFormatting sqref="G32:G51">
    <cfRule type="colorScale" priority="2">
      <colorScale>
        <cfvo type="min"/>
        <cfvo type="max"/>
        <color rgb="FFF8696B"/>
        <color rgb="FF63BE7B"/>
      </colorScale>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1"/>
  <sheetViews>
    <sheetView workbookViewId="0">
      <pane ySplit="1" topLeftCell="A2" activePane="bottomLeft" state="frozen"/>
      <selection pane="bottomLeft" activeCell="B74" sqref="B74"/>
    </sheetView>
  </sheetViews>
  <sheetFormatPr defaultRowHeight="15" x14ac:dyDescent="0.25"/>
  <cols>
    <col min="1" max="1" width="11" customWidth="1"/>
    <col min="2" max="2" width="36" customWidth="1"/>
    <col min="3" max="3" width="23.7109375" customWidth="1"/>
    <col min="4" max="4" width="24.85546875" customWidth="1"/>
    <col min="5" max="5" width="29.85546875" customWidth="1"/>
    <col min="6" max="6" width="24.28515625" customWidth="1"/>
    <col min="7" max="7" width="22.85546875" customWidth="1"/>
  </cols>
  <sheetData>
    <row r="1" spans="1:7" x14ac:dyDescent="0.25">
      <c r="A1" s="10" t="s">
        <v>148</v>
      </c>
      <c r="B1" s="10" t="s">
        <v>45</v>
      </c>
      <c r="C1" s="10" t="s">
        <v>149</v>
      </c>
      <c r="D1" s="1" t="s">
        <v>150</v>
      </c>
      <c r="E1" s="1" t="s">
        <v>151</v>
      </c>
      <c r="F1" s="1" t="s">
        <v>152</v>
      </c>
      <c r="G1" s="1" t="s">
        <v>153</v>
      </c>
    </row>
    <row r="2" spans="1:7" x14ac:dyDescent="0.25">
      <c r="A2" s="34" t="s">
        <v>154</v>
      </c>
      <c r="B2" s="9" t="s">
        <v>62</v>
      </c>
      <c r="C2" s="9" t="s">
        <v>62</v>
      </c>
      <c r="D2" s="9">
        <v>2333</v>
      </c>
      <c r="E2" s="9">
        <v>2205</v>
      </c>
      <c r="F2" s="9">
        <v>1543</v>
      </c>
      <c r="G2" s="9">
        <v>662</v>
      </c>
    </row>
    <row r="3" spans="1:7" x14ac:dyDescent="0.25">
      <c r="A3" s="31"/>
      <c r="B3" s="9" t="s">
        <v>60</v>
      </c>
      <c r="C3" s="9" t="s">
        <v>155</v>
      </c>
      <c r="D3" s="9">
        <v>7</v>
      </c>
      <c r="E3" s="9">
        <v>7</v>
      </c>
      <c r="F3" s="9">
        <v>5</v>
      </c>
      <c r="G3" s="9">
        <v>2</v>
      </c>
    </row>
    <row r="4" spans="1:7" x14ac:dyDescent="0.25">
      <c r="A4" s="31"/>
      <c r="B4" s="9" t="s">
        <v>61</v>
      </c>
      <c r="C4" s="9" t="s">
        <v>155</v>
      </c>
      <c r="D4" s="9">
        <v>183</v>
      </c>
      <c r="E4" s="9">
        <v>183</v>
      </c>
      <c r="F4" s="9">
        <v>128</v>
      </c>
      <c r="G4" s="9">
        <v>55</v>
      </c>
    </row>
    <row r="5" spans="1:7" x14ac:dyDescent="0.25">
      <c r="A5" s="31"/>
      <c r="B5" s="9" t="s">
        <v>63</v>
      </c>
      <c r="C5" s="9" t="s">
        <v>155</v>
      </c>
      <c r="D5" s="9">
        <v>25</v>
      </c>
      <c r="E5" s="9">
        <v>25</v>
      </c>
      <c r="F5" s="9">
        <v>17</v>
      </c>
      <c r="G5" s="9">
        <v>8</v>
      </c>
    </row>
    <row r="6" spans="1:7" x14ac:dyDescent="0.25">
      <c r="A6" s="31"/>
      <c r="B6" s="9" t="s">
        <v>64</v>
      </c>
      <c r="C6" s="9" t="s">
        <v>155</v>
      </c>
      <c r="D6" s="9">
        <v>43</v>
      </c>
      <c r="E6" s="9">
        <v>43</v>
      </c>
      <c r="F6" s="9">
        <v>30</v>
      </c>
      <c r="G6" s="9">
        <v>13</v>
      </c>
    </row>
    <row r="7" spans="1:7" x14ac:dyDescent="0.25">
      <c r="A7" s="31"/>
      <c r="B7" s="9" t="s">
        <v>69</v>
      </c>
      <c r="C7" s="9" t="s">
        <v>155</v>
      </c>
      <c r="D7" s="9">
        <v>175</v>
      </c>
      <c r="E7" s="9">
        <v>171</v>
      </c>
      <c r="F7" s="9">
        <v>120</v>
      </c>
      <c r="G7" s="9">
        <v>51</v>
      </c>
    </row>
    <row r="8" spans="1:7" x14ac:dyDescent="0.25">
      <c r="A8" s="31"/>
      <c r="B8" s="9" t="s">
        <v>70</v>
      </c>
      <c r="C8" s="9" t="s">
        <v>155</v>
      </c>
      <c r="D8" s="9">
        <v>258</v>
      </c>
      <c r="E8" s="9">
        <v>258</v>
      </c>
      <c r="F8" s="9">
        <v>181</v>
      </c>
      <c r="G8" s="9">
        <v>77</v>
      </c>
    </row>
    <row r="9" spans="1:7" x14ac:dyDescent="0.25">
      <c r="A9" s="31"/>
      <c r="B9" s="9" t="s">
        <v>71</v>
      </c>
      <c r="C9" s="9" t="s">
        <v>155</v>
      </c>
      <c r="D9" s="9">
        <v>1952</v>
      </c>
      <c r="E9" s="9">
        <v>1951</v>
      </c>
      <c r="F9" s="9">
        <v>1366</v>
      </c>
      <c r="G9" s="9">
        <v>585</v>
      </c>
    </row>
    <row r="10" spans="1:7" x14ac:dyDescent="0.25">
      <c r="A10" s="31"/>
      <c r="B10" s="9" t="s">
        <v>72</v>
      </c>
      <c r="C10" s="9" t="s">
        <v>155</v>
      </c>
      <c r="D10" s="9">
        <v>324</v>
      </c>
      <c r="E10" s="9">
        <v>324</v>
      </c>
      <c r="F10" s="9">
        <v>227</v>
      </c>
      <c r="G10" s="9">
        <v>97</v>
      </c>
    </row>
    <row r="11" spans="1:7" x14ac:dyDescent="0.25">
      <c r="A11" s="31"/>
      <c r="B11" s="9" t="s">
        <v>73</v>
      </c>
      <c r="C11" s="9" t="s">
        <v>155</v>
      </c>
      <c r="D11" s="9">
        <v>1427</v>
      </c>
      <c r="E11" s="9">
        <v>1427</v>
      </c>
      <c r="F11" s="9">
        <v>999</v>
      </c>
      <c r="G11" s="9">
        <v>428</v>
      </c>
    </row>
    <row r="12" spans="1:7" x14ac:dyDescent="0.25">
      <c r="A12" s="31"/>
      <c r="B12" s="9" t="s">
        <v>74</v>
      </c>
      <c r="C12" s="9" t="s">
        <v>155</v>
      </c>
      <c r="D12" s="9">
        <v>1439</v>
      </c>
      <c r="E12" s="9">
        <v>1438</v>
      </c>
      <c r="F12" s="9">
        <v>1007</v>
      </c>
      <c r="G12" s="9">
        <v>431</v>
      </c>
    </row>
    <row r="13" spans="1:7" x14ac:dyDescent="0.25">
      <c r="A13" s="31"/>
      <c r="B13" s="9" t="s">
        <v>75</v>
      </c>
      <c r="C13" s="9" t="s">
        <v>155</v>
      </c>
      <c r="D13" s="9">
        <v>293</v>
      </c>
      <c r="E13" s="9">
        <v>293</v>
      </c>
      <c r="F13" s="9">
        <v>205</v>
      </c>
      <c r="G13" s="9">
        <v>88</v>
      </c>
    </row>
    <row r="14" spans="1:7" x14ac:dyDescent="0.25">
      <c r="A14" s="31"/>
      <c r="B14" s="9" t="s">
        <v>76</v>
      </c>
      <c r="C14" s="9" t="s">
        <v>155</v>
      </c>
      <c r="D14" s="9">
        <v>117</v>
      </c>
      <c r="E14" s="9">
        <v>117</v>
      </c>
      <c r="F14" s="9">
        <v>82</v>
      </c>
      <c r="G14" s="9">
        <v>35</v>
      </c>
    </row>
    <row r="15" spans="1:7" x14ac:dyDescent="0.25">
      <c r="A15" s="31"/>
      <c r="B15" s="9" t="s">
        <v>53</v>
      </c>
      <c r="C15" s="9" t="s">
        <v>156</v>
      </c>
      <c r="D15" s="9">
        <v>113</v>
      </c>
      <c r="E15" s="9">
        <v>109</v>
      </c>
      <c r="F15" s="9">
        <v>76</v>
      </c>
      <c r="G15" s="9">
        <v>33</v>
      </c>
    </row>
    <row r="16" spans="1:7" x14ac:dyDescent="0.25">
      <c r="A16" s="31"/>
      <c r="B16" s="9" t="s">
        <v>55</v>
      </c>
      <c r="C16" s="9" t="s">
        <v>156</v>
      </c>
      <c r="D16" s="9">
        <v>36</v>
      </c>
      <c r="E16" s="9">
        <v>36</v>
      </c>
      <c r="F16" s="9">
        <v>25</v>
      </c>
      <c r="G16" s="9">
        <v>11</v>
      </c>
    </row>
    <row r="17" spans="1:7" x14ac:dyDescent="0.25">
      <c r="A17" s="31"/>
      <c r="B17" s="9" t="s">
        <v>56</v>
      </c>
      <c r="C17" s="9" t="s">
        <v>156</v>
      </c>
      <c r="D17" s="9">
        <v>44</v>
      </c>
      <c r="E17" s="9">
        <v>42</v>
      </c>
      <c r="F17" s="9">
        <v>29</v>
      </c>
      <c r="G17" s="9">
        <v>13</v>
      </c>
    </row>
    <row r="18" spans="1:7" x14ac:dyDescent="0.25">
      <c r="A18" s="31"/>
      <c r="B18" s="9" t="s">
        <v>58</v>
      </c>
      <c r="C18" s="9" t="s">
        <v>156</v>
      </c>
      <c r="D18" s="9">
        <v>14</v>
      </c>
      <c r="E18" s="9">
        <v>14</v>
      </c>
      <c r="F18" s="9">
        <v>10</v>
      </c>
      <c r="G18" s="9">
        <v>4</v>
      </c>
    </row>
    <row r="19" spans="1:7" x14ac:dyDescent="0.25">
      <c r="A19" s="31"/>
      <c r="B19" s="9" t="s">
        <v>59</v>
      </c>
      <c r="C19" s="9" t="s">
        <v>156</v>
      </c>
      <c r="D19" s="9">
        <v>14</v>
      </c>
      <c r="E19" s="9">
        <v>14</v>
      </c>
      <c r="F19" s="9">
        <v>10</v>
      </c>
      <c r="G19" s="9">
        <v>4</v>
      </c>
    </row>
    <row r="20" spans="1:7" x14ac:dyDescent="0.25">
      <c r="A20" s="31"/>
      <c r="B20" s="9" t="s">
        <v>65</v>
      </c>
      <c r="C20" s="9" t="s">
        <v>156</v>
      </c>
      <c r="D20" s="9">
        <v>268</v>
      </c>
      <c r="E20" s="9">
        <v>267</v>
      </c>
      <c r="F20" s="9">
        <v>187</v>
      </c>
      <c r="G20" s="9">
        <v>80</v>
      </c>
    </row>
    <row r="21" spans="1:7" x14ac:dyDescent="0.25">
      <c r="A21" s="31"/>
      <c r="B21" s="9" t="s">
        <v>66</v>
      </c>
      <c r="C21" s="9" t="s">
        <v>156</v>
      </c>
      <c r="D21" s="9">
        <v>362</v>
      </c>
      <c r="E21" s="9">
        <v>329</v>
      </c>
      <c r="F21" s="9">
        <v>230</v>
      </c>
      <c r="G21" s="9">
        <v>99</v>
      </c>
    </row>
    <row r="22" spans="1:7" x14ac:dyDescent="0.25">
      <c r="A22" s="31"/>
      <c r="B22" s="9" t="s">
        <v>67</v>
      </c>
      <c r="C22" s="9" t="s">
        <v>156</v>
      </c>
      <c r="D22" s="9">
        <v>1283</v>
      </c>
      <c r="E22" s="9">
        <v>1282</v>
      </c>
      <c r="F22" s="9">
        <v>897</v>
      </c>
      <c r="G22" s="9">
        <v>385</v>
      </c>
    </row>
    <row r="23" spans="1:7" x14ac:dyDescent="0.25">
      <c r="A23" s="31"/>
      <c r="B23" s="9" t="s">
        <v>68</v>
      </c>
      <c r="C23" s="9" t="s">
        <v>156</v>
      </c>
      <c r="D23" s="9">
        <v>20</v>
      </c>
      <c r="E23" s="9">
        <v>20</v>
      </c>
      <c r="F23" s="9">
        <v>14</v>
      </c>
      <c r="G23" s="9">
        <v>6</v>
      </c>
    </row>
    <row r="24" spans="1:7" x14ac:dyDescent="0.25">
      <c r="A24" s="32"/>
      <c r="B24" s="9" t="s">
        <v>77</v>
      </c>
      <c r="C24" s="9" t="s">
        <v>156</v>
      </c>
      <c r="D24" s="9">
        <v>67</v>
      </c>
      <c r="E24" s="9">
        <v>59</v>
      </c>
      <c r="F24" s="9">
        <v>41</v>
      </c>
      <c r="G24" s="9">
        <v>18</v>
      </c>
    </row>
    <row r="25" spans="1:7" x14ac:dyDescent="0.25">
      <c r="A25" s="30" t="s">
        <v>157</v>
      </c>
      <c r="B25" s="8" t="s">
        <v>62</v>
      </c>
      <c r="C25" s="8" t="s">
        <v>62</v>
      </c>
      <c r="D25" s="8">
        <v>2333</v>
      </c>
      <c r="E25" s="8">
        <v>2205</v>
      </c>
      <c r="F25" s="8">
        <v>1543</v>
      </c>
      <c r="G25" s="8">
        <v>662</v>
      </c>
    </row>
    <row r="26" spans="1:7" x14ac:dyDescent="0.25">
      <c r="A26" s="31"/>
      <c r="B26" s="8" t="s">
        <v>60</v>
      </c>
      <c r="C26" s="8" t="s">
        <v>155</v>
      </c>
      <c r="D26" s="8">
        <v>7</v>
      </c>
      <c r="E26" s="8">
        <v>7</v>
      </c>
      <c r="F26" s="8">
        <v>5</v>
      </c>
      <c r="G26" s="8">
        <v>2</v>
      </c>
    </row>
    <row r="27" spans="1:7" x14ac:dyDescent="0.25">
      <c r="A27" s="31"/>
      <c r="B27" s="8" t="s">
        <v>61</v>
      </c>
      <c r="C27" s="8" t="s">
        <v>155</v>
      </c>
      <c r="D27" s="8">
        <v>183</v>
      </c>
      <c r="E27" s="8">
        <v>183</v>
      </c>
      <c r="F27" s="8">
        <v>128</v>
      </c>
      <c r="G27" s="8">
        <v>55</v>
      </c>
    </row>
    <row r="28" spans="1:7" x14ac:dyDescent="0.25">
      <c r="A28" s="31"/>
      <c r="B28" s="8" t="s">
        <v>63</v>
      </c>
      <c r="C28" s="8" t="s">
        <v>155</v>
      </c>
      <c r="D28" s="8">
        <v>25</v>
      </c>
      <c r="E28" s="8">
        <v>25</v>
      </c>
      <c r="F28" s="8">
        <v>17</v>
      </c>
      <c r="G28" s="8">
        <v>8</v>
      </c>
    </row>
    <row r="29" spans="1:7" x14ac:dyDescent="0.25">
      <c r="A29" s="31"/>
      <c r="B29" s="8" t="s">
        <v>64</v>
      </c>
      <c r="C29" s="8" t="s">
        <v>155</v>
      </c>
      <c r="D29" s="8">
        <v>43</v>
      </c>
      <c r="E29" s="8">
        <v>43</v>
      </c>
      <c r="F29" s="8">
        <v>30</v>
      </c>
      <c r="G29" s="8">
        <v>13</v>
      </c>
    </row>
    <row r="30" spans="1:7" x14ac:dyDescent="0.25">
      <c r="A30" s="31"/>
      <c r="B30" s="8" t="s">
        <v>69</v>
      </c>
      <c r="C30" s="8" t="s">
        <v>155</v>
      </c>
      <c r="D30" s="8">
        <v>175</v>
      </c>
      <c r="E30" s="8">
        <v>171</v>
      </c>
      <c r="F30" s="8">
        <v>120</v>
      </c>
      <c r="G30" s="8">
        <v>51</v>
      </c>
    </row>
    <row r="31" spans="1:7" x14ac:dyDescent="0.25">
      <c r="A31" s="31"/>
      <c r="B31" s="8" t="s">
        <v>70</v>
      </c>
      <c r="C31" s="8" t="s">
        <v>155</v>
      </c>
      <c r="D31" s="8">
        <v>258</v>
      </c>
      <c r="E31" s="8">
        <v>258</v>
      </c>
      <c r="F31" s="8">
        <v>181</v>
      </c>
      <c r="G31" s="8">
        <v>77</v>
      </c>
    </row>
    <row r="32" spans="1:7" x14ac:dyDescent="0.25">
      <c r="A32" s="31"/>
      <c r="B32" s="8" t="s">
        <v>71</v>
      </c>
      <c r="C32" s="8" t="s">
        <v>155</v>
      </c>
      <c r="D32" s="8">
        <v>1952</v>
      </c>
      <c r="E32" s="8">
        <v>1951</v>
      </c>
      <c r="F32" s="8">
        <v>1366</v>
      </c>
      <c r="G32" s="8">
        <v>585</v>
      </c>
    </row>
    <row r="33" spans="1:8" x14ac:dyDescent="0.25">
      <c r="A33" s="31"/>
      <c r="B33" s="8" t="s">
        <v>72</v>
      </c>
      <c r="C33" s="8" t="s">
        <v>155</v>
      </c>
      <c r="D33" s="8">
        <v>324</v>
      </c>
      <c r="E33" s="8">
        <v>324</v>
      </c>
      <c r="F33" s="8">
        <v>227</v>
      </c>
      <c r="G33" s="8">
        <v>97</v>
      </c>
    </row>
    <row r="34" spans="1:8" x14ac:dyDescent="0.25">
      <c r="A34" s="31"/>
      <c r="B34" s="8" t="s">
        <v>73</v>
      </c>
      <c r="C34" s="8" t="s">
        <v>155</v>
      </c>
      <c r="D34" s="8">
        <v>1427</v>
      </c>
      <c r="E34" s="8">
        <v>1427</v>
      </c>
      <c r="F34" s="8">
        <v>999</v>
      </c>
      <c r="G34" s="8">
        <v>428</v>
      </c>
    </row>
    <row r="35" spans="1:8" x14ac:dyDescent="0.25">
      <c r="A35" s="31"/>
      <c r="B35" s="8" t="s">
        <v>74</v>
      </c>
      <c r="C35" s="8" t="s">
        <v>155</v>
      </c>
      <c r="D35" s="8">
        <v>1439</v>
      </c>
      <c r="E35" s="8">
        <v>1438</v>
      </c>
      <c r="F35" s="8">
        <v>1007</v>
      </c>
      <c r="G35" s="8">
        <v>431</v>
      </c>
    </row>
    <row r="36" spans="1:8" x14ac:dyDescent="0.25">
      <c r="A36" s="31"/>
      <c r="B36" s="8" t="s">
        <v>75</v>
      </c>
      <c r="C36" s="8" t="s">
        <v>155</v>
      </c>
      <c r="D36" s="8">
        <v>293</v>
      </c>
      <c r="E36" s="8">
        <v>293</v>
      </c>
      <c r="F36" s="8">
        <v>205</v>
      </c>
      <c r="G36" s="8">
        <v>88</v>
      </c>
    </row>
    <row r="37" spans="1:8" x14ac:dyDescent="0.25">
      <c r="A37" s="31"/>
      <c r="B37" s="8" t="s">
        <v>76</v>
      </c>
      <c r="C37" s="8" t="s">
        <v>155</v>
      </c>
      <c r="D37" s="8">
        <v>117</v>
      </c>
      <c r="E37" s="8">
        <v>117</v>
      </c>
      <c r="F37" s="8">
        <v>82</v>
      </c>
      <c r="G37" s="8">
        <v>35</v>
      </c>
    </row>
    <row r="38" spans="1:8" x14ac:dyDescent="0.25">
      <c r="A38" s="31"/>
      <c r="B38" s="8" t="s">
        <v>53</v>
      </c>
      <c r="C38" s="8" t="s">
        <v>156</v>
      </c>
      <c r="D38" s="8">
        <v>185</v>
      </c>
      <c r="E38" s="8">
        <v>179</v>
      </c>
      <c r="F38" s="8">
        <v>125</v>
      </c>
      <c r="G38" s="8">
        <v>54</v>
      </c>
    </row>
    <row r="39" spans="1:8" x14ac:dyDescent="0.25">
      <c r="A39" s="31"/>
      <c r="B39" s="8" t="s">
        <v>55</v>
      </c>
      <c r="C39" s="8" t="s">
        <v>156</v>
      </c>
      <c r="D39" s="8">
        <v>36</v>
      </c>
      <c r="E39" s="8">
        <v>36</v>
      </c>
      <c r="F39" s="8">
        <v>25</v>
      </c>
      <c r="G39" s="8">
        <v>11</v>
      </c>
    </row>
    <row r="40" spans="1:8" x14ac:dyDescent="0.25">
      <c r="A40" s="31"/>
      <c r="B40" s="8" t="s">
        <v>65</v>
      </c>
      <c r="C40" s="8" t="s">
        <v>156</v>
      </c>
      <c r="D40" s="8">
        <v>268</v>
      </c>
      <c r="E40" s="8">
        <v>267</v>
      </c>
      <c r="F40" s="8">
        <v>187</v>
      </c>
      <c r="G40" s="8">
        <v>80</v>
      </c>
    </row>
    <row r="41" spans="1:8" x14ac:dyDescent="0.25">
      <c r="A41" s="31"/>
      <c r="B41" s="8" t="s">
        <v>66</v>
      </c>
      <c r="C41" s="8" t="s">
        <v>156</v>
      </c>
      <c r="D41" s="8">
        <v>362</v>
      </c>
      <c r="E41" s="8">
        <v>329</v>
      </c>
      <c r="F41" s="8">
        <v>230</v>
      </c>
      <c r="G41" s="8">
        <v>99</v>
      </c>
    </row>
    <row r="42" spans="1:8" x14ac:dyDescent="0.25">
      <c r="A42" s="31"/>
      <c r="B42" s="8" t="s">
        <v>67</v>
      </c>
      <c r="C42" s="8" t="s">
        <v>156</v>
      </c>
      <c r="D42" s="8">
        <v>1283</v>
      </c>
      <c r="E42" s="8">
        <v>1282</v>
      </c>
      <c r="F42" s="8">
        <v>897</v>
      </c>
      <c r="G42" s="8">
        <v>385</v>
      </c>
    </row>
    <row r="43" spans="1:8" x14ac:dyDescent="0.25">
      <c r="A43" s="31"/>
      <c r="B43" s="8" t="s">
        <v>68</v>
      </c>
      <c r="C43" s="8" t="s">
        <v>156</v>
      </c>
      <c r="D43" s="8">
        <v>20</v>
      </c>
      <c r="E43" s="8">
        <v>20</v>
      </c>
      <c r="F43" s="8">
        <v>14</v>
      </c>
      <c r="G43" s="8">
        <v>6</v>
      </c>
    </row>
    <row r="44" spans="1:8" x14ac:dyDescent="0.25">
      <c r="A44" s="32"/>
      <c r="B44" s="8" t="s">
        <v>77</v>
      </c>
      <c r="C44" s="8" t="s">
        <v>156</v>
      </c>
      <c r="D44" s="8">
        <v>67</v>
      </c>
      <c r="E44" s="8">
        <v>59</v>
      </c>
      <c r="F44" s="8">
        <v>41</v>
      </c>
      <c r="G44" s="8">
        <v>18</v>
      </c>
    </row>
    <row r="47" spans="1:8" x14ac:dyDescent="0.25">
      <c r="A47" s="7"/>
      <c r="B47" s="7"/>
      <c r="C47" s="7"/>
      <c r="D47" s="7"/>
      <c r="E47" s="7"/>
      <c r="F47" s="7"/>
      <c r="G47" s="7"/>
      <c r="H47" s="6"/>
    </row>
    <row r="48" spans="1:8" x14ac:dyDescent="0.25">
      <c r="A48" s="33" t="s">
        <v>158</v>
      </c>
      <c r="B48" s="25"/>
      <c r="C48" s="25"/>
      <c r="D48" s="25"/>
      <c r="E48" s="25"/>
      <c r="F48" s="25"/>
      <c r="G48" s="25"/>
      <c r="H48" s="6"/>
    </row>
    <row r="49" spans="1:8" x14ac:dyDescent="0.25">
      <c r="A49" s="33" t="s">
        <v>159</v>
      </c>
      <c r="B49" s="25"/>
      <c r="C49" s="25"/>
      <c r="D49" s="25"/>
      <c r="E49" s="25"/>
      <c r="F49" s="25"/>
      <c r="G49" s="25"/>
      <c r="H49" s="25"/>
    </row>
    <row r="50" spans="1:8" x14ac:dyDescent="0.25">
      <c r="A50" s="33" t="s">
        <v>160</v>
      </c>
      <c r="B50" s="25"/>
      <c r="C50" s="25"/>
      <c r="D50" s="25"/>
      <c r="E50" s="25"/>
      <c r="F50" s="25"/>
      <c r="G50" s="25"/>
      <c r="H50" s="6"/>
    </row>
    <row r="51" spans="1:8" x14ac:dyDescent="0.25">
      <c r="A51" s="33" t="s">
        <v>175</v>
      </c>
      <c r="B51" s="25"/>
      <c r="C51" s="25"/>
      <c r="D51" s="25"/>
      <c r="E51" s="25"/>
      <c r="F51" s="25"/>
      <c r="G51" s="25"/>
    </row>
  </sheetData>
  <autoFilter ref="A1:G47" xr:uid="{00000000-0009-0000-0000-000004000000}"/>
  <mergeCells count="6">
    <mergeCell ref="A51:G51"/>
    <mergeCell ref="A25:A44"/>
    <mergeCell ref="A50:G50"/>
    <mergeCell ref="A48:G48"/>
    <mergeCell ref="A2:A24"/>
    <mergeCell ref="A49:H4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zoomScale="84" zoomScaleNormal="100" workbookViewId="0">
      <pane ySplit="1" topLeftCell="A2" activePane="bottomLeft" state="frozen"/>
      <selection pane="bottomLeft" activeCell="H28" sqref="H28"/>
    </sheetView>
  </sheetViews>
  <sheetFormatPr defaultRowHeight="15" x14ac:dyDescent="0.25"/>
  <cols>
    <col min="1" max="1" width="44.140625" customWidth="1"/>
    <col min="2" max="2" width="12" bestFit="1" customWidth="1"/>
    <col min="3" max="3" width="20.85546875" bestFit="1" customWidth="1"/>
    <col min="4" max="4" width="15.7109375" bestFit="1" customWidth="1"/>
    <col min="5" max="5" width="12.140625" bestFit="1" customWidth="1"/>
    <col min="6" max="6" width="22" bestFit="1" customWidth="1"/>
  </cols>
  <sheetData>
    <row r="1" spans="1:6" x14ac:dyDescent="0.25">
      <c r="A1" s="10" t="s">
        <v>45</v>
      </c>
      <c r="B1" s="10" t="s">
        <v>149</v>
      </c>
      <c r="C1" s="10" t="s">
        <v>161</v>
      </c>
      <c r="D1" s="10" t="s">
        <v>162</v>
      </c>
      <c r="E1" s="10" t="s">
        <v>163</v>
      </c>
      <c r="F1" s="10" t="s">
        <v>164</v>
      </c>
    </row>
    <row r="2" spans="1:6" x14ac:dyDescent="0.25">
      <c r="A2" t="s">
        <v>62</v>
      </c>
      <c r="B2" t="s">
        <v>62</v>
      </c>
      <c r="C2">
        <v>2205</v>
      </c>
      <c r="D2">
        <v>1543</v>
      </c>
      <c r="E2">
        <v>662</v>
      </c>
      <c r="F2">
        <v>2333</v>
      </c>
    </row>
    <row r="3" spans="1:6" x14ac:dyDescent="0.25">
      <c r="A3" t="s">
        <v>165</v>
      </c>
      <c r="B3" t="s">
        <v>155</v>
      </c>
      <c r="C3">
        <v>1951</v>
      </c>
      <c r="D3">
        <v>1366</v>
      </c>
      <c r="E3">
        <v>585</v>
      </c>
      <c r="F3">
        <v>1952</v>
      </c>
    </row>
    <row r="4" spans="1:6" x14ac:dyDescent="0.25">
      <c r="A4" t="s">
        <v>74</v>
      </c>
      <c r="B4" t="s">
        <v>155</v>
      </c>
      <c r="C4">
        <v>1438</v>
      </c>
      <c r="D4">
        <v>1007</v>
      </c>
      <c r="E4">
        <v>431</v>
      </c>
      <c r="F4">
        <v>1439</v>
      </c>
    </row>
    <row r="5" spans="1:6" x14ac:dyDescent="0.25">
      <c r="A5" t="s">
        <v>73</v>
      </c>
      <c r="B5" t="s">
        <v>155</v>
      </c>
      <c r="C5">
        <v>1427</v>
      </c>
      <c r="D5">
        <v>999</v>
      </c>
      <c r="E5">
        <v>428</v>
      </c>
      <c r="F5">
        <v>1427</v>
      </c>
    </row>
    <row r="6" spans="1:6" x14ac:dyDescent="0.25">
      <c r="A6" t="s">
        <v>72</v>
      </c>
      <c r="B6" t="s">
        <v>155</v>
      </c>
      <c r="C6">
        <v>324</v>
      </c>
      <c r="D6">
        <v>227</v>
      </c>
      <c r="E6">
        <v>97</v>
      </c>
      <c r="F6">
        <v>324</v>
      </c>
    </row>
    <row r="7" spans="1:6" x14ac:dyDescent="0.25">
      <c r="A7" t="s">
        <v>75</v>
      </c>
      <c r="B7" t="s">
        <v>155</v>
      </c>
      <c r="C7">
        <v>293</v>
      </c>
      <c r="D7">
        <v>205</v>
      </c>
      <c r="E7">
        <v>88</v>
      </c>
      <c r="F7">
        <v>293</v>
      </c>
    </row>
    <row r="8" spans="1:6" x14ac:dyDescent="0.25">
      <c r="A8" t="s">
        <v>70</v>
      </c>
      <c r="B8" t="s">
        <v>155</v>
      </c>
      <c r="C8">
        <v>258</v>
      </c>
      <c r="D8">
        <v>181</v>
      </c>
      <c r="E8">
        <v>77</v>
      </c>
      <c r="F8">
        <v>258</v>
      </c>
    </row>
    <row r="9" spans="1:6" x14ac:dyDescent="0.25">
      <c r="A9" t="s">
        <v>61</v>
      </c>
      <c r="B9" t="s">
        <v>155</v>
      </c>
      <c r="C9">
        <v>183</v>
      </c>
      <c r="D9">
        <v>128</v>
      </c>
      <c r="E9">
        <v>55</v>
      </c>
      <c r="F9">
        <v>183</v>
      </c>
    </row>
    <row r="10" spans="1:6" x14ac:dyDescent="0.25">
      <c r="A10" t="s">
        <v>69</v>
      </c>
      <c r="B10" t="s">
        <v>155</v>
      </c>
      <c r="C10">
        <v>171</v>
      </c>
      <c r="D10">
        <v>120</v>
      </c>
      <c r="E10">
        <v>51</v>
      </c>
      <c r="F10">
        <v>175</v>
      </c>
    </row>
    <row r="11" spans="1:6" x14ac:dyDescent="0.25">
      <c r="A11" t="s">
        <v>76</v>
      </c>
      <c r="B11" t="s">
        <v>155</v>
      </c>
      <c r="C11">
        <v>117</v>
      </c>
      <c r="D11">
        <v>82</v>
      </c>
      <c r="E11">
        <v>35</v>
      </c>
      <c r="F11">
        <v>117</v>
      </c>
    </row>
    <row r="12" spans="1:6" x14ac:dyDescent="0.25">
      <c r="A12" t="s">
        <v>64</v>
      </c>
      <c r="B12" t="s">
        <v>155</v>
      </c>
      <c r="C12">
        <v>43</v>
      </c>
      <c r="D12">
        <v>30</v>
      </c>
      <c r="E12">
        <v>13</v>
      </c>
      <c r="F12">
        <v>43</v>
      </c>
    </row>
    <row r="13" spans="1:6" x14ac:dyDescent="0.25">
      <c r="A13" t="s">
        <v>63</v>
      </c>
      <c r="B13" t="s">
        <v>155</v>
      </c>
      <c r="C13">
        <v>25</v>
      </c>
      <c r="D13">
        <v>17</v>
      </c>
      <c r="E13">
        <v>8</v>
      </c>
      <c r="F13">
        <v>25</v>
      </c>
    </row>
    <row r="14" spans="1:6" x14ac:dyDescent="0.25">
      <c r="A14" t="s">
        <v>60</v>
      </c>
      <c r="B14" t="s">
        <v>155</v>
      </c>
      <c r="C14">
        <v>7</v>
      </c>
      <c r="D14">
        <v>5</v>
      </c>
      <c r="E14">
        <v>2</v>
      </c>
      <c r="F14">
        <v>7</v>
      </c>
    </row>
    <row r="15" spans="1:6" x14ac:dyDescent="0.25">
      <c r="A15" t="s">
        <v>67</v>
      </c>
      <c r="B15" t="s">
        <v>156</v>
      </c>
      <c r="C15">
        <v>1282</v>
      </c>
      <c r="D15">
        <v>897</v>
      </c>
      <c r="E15">
        <v>385</v>
      </c>
      <c r="F15">
        <v>1283</v>
      </c>
    </row>
    <row r="16" spans="1:6" x14ac:dyDescent="0.25">
      <c r="A16" t="s">
        <v>66</v>
      </c>
      <c r="B16" t="s">
        <v>156</v>
      </c>
      <c r="C16">
        <v>329</v>
      </c>
      <c r="D16">
        <v>230</v>
      </c>
      <c r="E16">
        <v>99</v>
      </c>
      <c r="F16">
        <v>362</v>
      </c>
    </row>
    <row r="17" spans="1:6" x14ac:dyDescent="0.25">
      <c r="A17" t="s">
        <v>65</v>
      </c>
      <c r="B17" t="s">
        <v>156</v>
      </c>
      <c r="C17">
        <v>267</v>
      </c>
      <c r="D17">
        <v>187</v>
      </c>
      <c r="E17">
        <v>80</v>
      </c>
      <c r="F17">
        <v>268</v>
      </c>
    </row>
    <row r="18" spans="1:6" x14ac:dyDescent="0.25">
      <c r="A18" t="s">
        <v>53</v>
      </c>
      <c r="B18" t="s">
        <v>156</v>
      </c>
      <c r="C18">
        <v>109</v>
      </c>
      <c r="D18">
        <v>76</v>
      </c>
      <c r="E18">
        <v>33</v>
      </c>
      <c r="F18">
        <v>113</v>
      </c>
    </row>
    <row r="19" spans="1:6" x14ac:dyDescent="0.25">
      <c r="A19" t="s">
        <v>77</v>
      </c>
      <c r="B19" t="s">
        <v>156</v>
      </c>
      <c r="C19">
        <v>59</v>
      </c>
      <c r="D19">
        <v>41</v>
      </c>
      <c r="E19">
        <v>18</v>
      </c>
      <c r="F19">
        <v>67</v>
      </c>
    </row>
    <row r="20" spans="1:6" x14ac:dyDescent="0.25">
      <c r="A20" t="s">
        <v>56</v>
      </c>
      <c r="B20" t="s">
        <v>156</v>
      </c>
      <c r="C20">
        <v>42</v>
      </c>
      <c r="D20">
        <v>29</v>
      </c>
      <c r="E20">
        <v>13</v>
      </c>
      <c r="F20">
        <v>44</v>
      </c>
    </row>
    <row r="21" spans="1:6" x14ac:dyDescent="0.25">
      <c r="A21" t="s">
        <v>55</v>
      </c>
      <c r="B21" t="s">
        <v>156</v>
      </c>
      <c r="C21">
        <v>36</v>
      </c>
      <c r="D21">
        <v>25</v>
      </c>
      <c r="E21">
        <v>11</v>
      </c>
      <c r="F21">
        <v>36</v>
      </c>
    </row>
    <row r="22" spans="1:6" x14ac:dyDescent="0.25">
      <c r="A22" t="s">
        <v>68</v>
      </c>
      <c r="B22" t="s">
        <v>156</v>
      </c>
      <c r="C22">
        <v>20</v>
      </c>
      <c r="D22">
        <v>14</v>
      </c>
      <c r="E22">
        <v>6</v>
      </c>
      <c r="F22">
        <v>20</v>
      </c>
    </row>
    <row r="23" spans="1:6" x14ac:dyDescent="0.25">
      <c r="A23" t="s">
        <v>58</v>
      </c>
      <c r="B23" t="s">
        <v>156</v>
      </c>
      <c r="C23">
        <v>14</v>
      </c>
      <c r="D23">
        <v>10</v>
      </c>
      <c r="E23">
        <v>4</v>
      </c>
      <c r="F23">
        <v>14</v>
      </c>
    </row>
    <row r="24" spans="1:6" x14ac:dyDescent="0.25">
      <c r="A24" t="s">
        <v>59</v>
      </c>
      <c r="B24" t="s">
        <v>156</v>
      </c>
      <c r="C24">
        <v>14</v>
      </c>
      <c r="D24">
        <v>10</v>
      </c>
      <c r="E24">
        <v>4</v>
      </c>
      <c r="F24">
        <v>14</v>
      </c>
    </row>
    <row r="26" spans="1:6" ht="35.25" customHeight="1" x14ac:dyDescent="0.25">
      <c r="A26" s="24" t="s">
        <v>166</v>
      </c>
      <c r="B26" s="29"/>
      <c r="C26" s="29"/>
      <c r="D26" s="29"/>
      <c r="E26" s="29"/>
      <c r="F26" s="29"/>
    </row>
    <row r="27" spans="1:6" x14ac:dyDescent="0.25">
      <c r="A27" s="24" t="s">
        <v>167</v>
      </c>
      <c r="B27" s="29"/>
      <c r="C27" s="29"/>
      <c r="D27" s="29"/>
      <c r="E27" s="29"/>
      <c r="F27" s="29"/>
    </row>
    <row r="28" spans="1:6" ht="30" customHeight="1" x14ac:dyDescent="0.25">
      <c r="A28" s="24" t="s">
        <v>168</v>
      </c>
      <c r="B28" s="29"/>
      <c r="C28" s="29"/>
      <c r="D28" s="29"/>
      <c r="E28" s="29"/>
      <c r="F28" s="29"/>
    </row>
    <row r="29" spans="1:6" x14ac:dyDescent="0.25">
      <c r="A29" s="24" t="s">
        <v>175</v>
      </c>
      <c r="B29" s="29"/>
      <c r="C29" s="29"/>
      <c r="D29" s="29"/>
      <c r="E29" s="29"/>
      <c r="F29" s="29"/>
    </row>
  </sheetData>
  <mergeCells count="4">
    <mergeCell ref="A26:F26"/>
    <mergeCell ref="A28:F28"/>
    <mergeCell ref="A27:F27"/>
    <mergeCell ref="A29:F29"/>
  </mergeCells>
  <pageMargins left="0.75" right="0.75" top="1" bottom="1" header="0.5" footer="0.5"/>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7"/>
  <sheetViews>
    <sheetView workbookViewId="0"/>
  </sheetViews>
  <sheetFormatPr defaultRowHeight="15" x14ac:dyDescent="0.25"/>
  <sheetData>
    <row r="1" spans="1:3" x14ac:dyDescent="0.25">
      <c r="B1" s="5" t="s">
        <v>169</v>
      </c>
      <c r="C1" s="5" t="s">
        <v>170</v>
      </c>
    </row>
    <row r="2" spans="1:3" x14ac:dyDescent="0.25">
      <c r="A2" t="s">
        <v>9</v>
      </c>
      <c r="B2">
        <v>42.6</v>
      </c>
      <c r="C2">
        <v>66.7</v>
      </c>
    </row>
    <row r="3" spans="1:3" x14ac:dyDescent="0.25">
      <c r="A3" t="s">
        <v>13</v>
      </c>
      <c r="B3">
        <v>55.6</v>
      </c>
      <c r="C3">
        <v>64.8</v>
      </c>
    </row>
    <row r="5" spans="1:3" x14ac:dyDescent="0.25">
      <c r="A5" s="5" t="s">
        <v>86</v>
      </c>
      <c r="B5" s="5" t="s">
        <v>171</v>
      </c>
      <c r="C5" s="5" t="s">
        <v>172</v>
      </c>
    </row>
    <row r="6" spans="1:3" x14ac:dyDescent="0.25">
      <c r="A6" t="s">
        <v>95</v>
      </c>
      <c r="B6">
        <v>24.1</v>
      </c>
      <c r="C6">
        <v>9.3000000000000007</v>
      </c>
    </row>
    <row r="7" spans="1:3" x14ac:dyDescent="0.25">
      <c r="A7" t="s">
        <v>62</v>
      </c>
      <c r="B7">
        <v>-3.9</v>
      </c>
      <c r="C7">
        <v>10.1</v>
      </c>
    </row>
    <row r="8" spans="1:3" x14ac:dyDescent="0.25">
      <c r="A8" t="s">
        <v>66</v>
      </c>
      <c r="B8">
        <v>-20.2</v>
      </c>
      <c r="C8">
        <v>-10.1</v>
      </c>
    </row>
    <row r="9" spans="1:3" x14ac:dyDescent="0.25">
      <c r="A9" t="s">
        <v>74</v>
      </c>
      <c r="B9">
        <v>-1.4</v>
      </c>
      <c r="C9">
        <v>-1.4</v>
      </c>
    </row>
    <row r="10" spans="1:3" x14ac:dyDescent="0.25">
      <c r="A10" t="s">
        <v>55</v>
      </c>
      <c r="B10">
        <v>-27.3</v>
      </c>
      <c r="C10">
        <v>9.1</v>
      </c>
    </row>
    <row r="11" spans="1:3" x14ac:dyDescent="0.25">
      <c r="A11" t="s">
        <v>72</v>
      </c>
      <c r="B11">
        <v>-2.1</v>
      </c>
      <c r="C11">
        <v>1</v>
      </c>
    </row>
    <row r="12" spans="1:3" x14ac:dyDescent="0.25">
      <c r="A12" t="s">
        <v>68</v>
      </c>
      <c r="B12">
        <v>-16.7</v>
      </c>
      <c r="C12">
        <v>16.7</v>
      </c>
    </row>
    <row r="13" spans="1:3" x14ac:dyDescent="0.25">
      <c r="A13" t="s">
        <v>73</v>
      </c>
      <c r="B13">
        <v>-0.2</v>
      </c>
      <c r="C13">
        <v>0</v>
      </c>
    </row>
    <row r="14" spans="1:3" x14ac:dyDescent="0.25">
      <c r="A14" t="s">
        <v>76</v>
      </c>
      <c r="B14">
        <v>-2.9</v>
      </c>
      <c r="C14">
        <v>-5.7</v>
      </c>
    </row>
    <row r="15" spans="1:3" x14ac:dyDescent="0.25">
      <c r="A15" t="s">
        <v>60</v>
      </c>
      <c r="B15">
        <v>0</v>
      </c>
      <c r="C15">
        <v>50</v>
      </c>
    </row>
    <row r="16" spans="1:3" x14ac:dyDescent="0.25">
      <c r="A16" t="s">
        <v>64</v>
      </c>
      <c r="B16">
        <v>0</v>
      </c>
      <c r="C16">
        <v>0</v>
      </c>
    </row>
    <row r="17" spans="1:3" x14ac:dyDescent="0.25">
      <c r="A17" t="s">
        <v>69</v>
      </c>
      <c r="B17">
        <v>0</v>
      </c>
      <c r="C17">
        <v>19.600000000000001</v>
      </c>
    </row>
    <row r="18" spans="1:3" x14ac:dyDescent="0.25">
      <c r="A18" t="s">
        <v>77</v>
      </c>
      <c r="B18">
        <v>0</v>
      </c>
      <c r="C18">
        <v>0</v>
      </c>
    </row>
    <row r="19" spans="1:3" x14ac:dyDescent="0.25">
      <c r="A19" t="s">
        <v>61</v>
      </c>
      <c r="B19">
        <v>1.8</v>
      </c>
      <c r="C19">
        <v>5.5</v>
      </c>
    </row>
    <row r="20" spans="1:3" x14ac:dyDescent="0.25">
      <c r="A20" t="s">
        <v>65</v>
      </c>
      <c r="B20">
        <v>1.3</v>
      </c>
      <c r="C20">
        <v>-5</v>
      </c>
    </row>
    <row r="21" spans="1:3" x14ac:dyDescent="0.25">
      <c r="A21" t="s">
        <v>63</v>
      </c>
      <c r="B21">
        <v>25</v>
      </c>
      <c r="C21">
        <v>50</v>
      </c>
    </row>
    <row r="22" spans="1:3" x14ac:dyDescent="0.25">
      <c r="A22" t="s">
        <v>75</v>
      </c>
      <c r="B22">
        <v>2.2999999999999998</v>
      </c>
      <c r="C22">
        <v>0</v>
      </c>
    </row>
    <row r="23" spans="1:3" x14ac:dyDescent="0.25">
      <c r="A23" t="s">
        <v>71</v>
      </c>
      <c r="B23">
        <v>0.5</v>
      </c>
      <c r="C23">
        <v>-0.3</v>
      </c>
    </row>
    <row r="24" spans="1:3" x14ac:dyDescent="0.25">
      <c r="A24" t="s">
        <v>70</v>
      </c>
      <c r="B24">
        <v>5.2</v>
      </c>
      <c r="C24">
        <v>1.3</v>
      </c>
    </row>
    <row r="25" spans="1:3" x14ac:dyDescent="0.25">
      <c r="A25" t="s">
        <v>67</v>
      </c>
      <c r="B25">
        <v>9.4</v>
      </c>
      <c r="C25">
        <v>-6.8</v>
      </c>
    </row>
    <row r="27" spans="1:3" x14ac:dyDescent="0.25">
      <c r="A27" s="5" t="s">
        <v>86</v>
      </c>
      <c r="B27" s="5" t="s">
        <v>173</v>
      </c>
      <c r="C27" s="5" t="s">
        <v>174</v>
      </c>
    </row>
    <row r="28" spans="1:3" x14ac:dyDescent="0.25">
      <c r="A28" t="s">
        <v>95</v>
      </c>
      <c r="B28">
        <v>12</v>
      </c>
      <c r="C28">
        <v>2</v>
      </c>
    </row>
    <row r="29" spans="1:3" x14ac:dyDescent="0.25">
      <c r="A29" t="s">
        <v>62</v>
      </c>
      <c r="B29">
        <v>-26</v>
      </c>
      <c r="C29">
        <v>67</v>
      </c>
    </row>
    <row r="30" spans="1:3" x14ac:dyDescent="0.25">
      <c r="A30" t="s">
        <v>66</v>
      </c>
      <c r="B30">
        <v>-20</v>
      </c>
      <c r="C30">
        <v>-10</v>
      </c>
    </row>
    <row r="31" spans="1:3" x14ac:dyDescent="0.25">
      <c r="A31" t="s">
        <v>74</v>
      </c>
      <c r="B31">
        <v>-6</v>
      </c>
      <c r="C31">
        <v>-6</v>
      </c>
    </row>
    <row r="32" spans="1:3" x14ac:dyDescent="0.25">
      <c r="A32" t="s">
        <v>55</v>
      </c>
      <c r="B32">
        <v>-3</v>
      </c>
      <c r="C32">
        <v>1</v>
      </c>
    </row>
    <row r="33" spans="1:3" x14ac:dyDescent="0.25">
      <c r="A33" t="s">
        <v>72</v>
      </c>
      <c r="B33">
        <v>-2</v>
      </c>
      <c r="C33">
        <v>1</v>
      </c>
    </row>
    <row r="34" spans="1:3" x14ac:dyDescent="0.25">
      <c r="A34" t="s">
        <v>68</v>
      </c>
      <c r="B34">
        <v>-1</v>
      </c>
      <c r="C34">
        <v>1</v>
      </c>
    </row>
    <row r="35" spans="1:3" x14ac:dyDescent="0.25">
      <c r="A35" t="s">
        <v>73</v>
      </c>
      <c r="B35">
        <v>-1</v>
      </c>
      <c r="C35">
        <v>0</v>
      </c>
    </row>
    <row r="36" spans="1:3" x14ac:dyDescent="0.25">
      <c r="A36" t="s">
        <v>76</v>
      </c>
      <c r="B36">
        <v>-1</v>
      </c>
      <c r="C36">
        <v>-2</v>
      </c>
    </row>
    <row r="37" spans="1:3" x14ac:dyDescent="0.25">
      <c r="A37" t="s">
        <v>60</v>
      </c>
      <c r="B37">
        <v>0</v>
      </c>
      <c r="C37">
        <v>1</v>
      </c>
    </row>
    <row r="38" spans="1:3" x14ac:dyDescent="0.25">
      <c r="A38" t="s">
        <v>64</v>
      </c>
      <c r="B38">
        <v>0</v>
      </c>
      <c r="C38">
        <v>0</v>
      </c>
    </row>
    <row r="39" spans="1:3" x14ac:dyDescent="0.25">
      <c r="A39" t="s">
        <v>69</v>
      </c>
      <c r="B39">
        <v>0</v>
      </c>
      <c r="C39">
        <v>10</v>
      </c>
    </row>
    <row r="40" spans="1:3" x14ac:dyDescent="0.25">
      <c r="A40" t="s">
        <v>77</v>
      </c>
      <c r="B40">
        <v>0</v>
      </c>
      <c r="C40">
        <v>0</v>
      </c>
    </row>
    <row r="41" spans="1:3" x14ac:dyDescent="0.25">
      <c r="A41" t="s">
        <v>61</v>
      </c>
      <c r="B41">
        <v>1</v>
      </c>
      <c r="C41">
        <v>3</v>
      </c>
    </row>
    <row r="42" spans="1:3" x14ac:dyDescent="0.25">
      <c r="A42" t="s">
        <v>65</v>
      </c>
      <c r="B42">
        <v>1</v>
      </c>
      <c r="C42">
        <v>-4</v>
      </c>
    </row>
    <row r="43" spans="1:3" x14ac:dyDescent="0.25">
      <c r="A43" t="s">
        <v>63</v>
      </c>
      <c r="B43">
        <v>2</v>
      </c>
      <c r="C43">
        <v>4</v>
      </c>
    </row>
    <row r="44" spans="1:3" x14ac:dyDescent="0.25">
      <c r="A44" t="s">
        <v>75</v>
      </c>
      <c r="B44">
        <v>2</v>
      </c>
      <c r="C44">
        <v>0</v>
      </c>
    </row>
    <row r="45" spans="1:3" x14ac:dyDescent="0.25">
      <c r="A45" t="s">
        <v>71</v>
      </c>
      <c r="B45">
        <v>3</v>
      </c>
      <c r="C45">
        <v>-2</v>
      </c>
    </row>
    <row r="46" spans="1:3" x14ac:dyDescent="0.25">
      <c r="A46" t="s">
        <v>70</v>
      </c>
      <c r="B46">
        <v>4</v>
      </c>
      <c r="C46">
        <v>1</v>
      </c>
    </row>
    <row r="47" spans="1:3" x14ac:dyDescent="0.25">
      <c r="A47" t="s">
        <v>67</v>
      </c>
      <c r="B47">
        <v>36</v>
      </c>
      <c r="C47">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Headline</vt:lpstr>
      <vt:lpstr>Per class</vt:lpstr>
      <vt:lpstr>What moved</vt:lpstr>
      <vt:lpstr>Count table</vt:lpstr>
      <vt:lpstr>Image EDA</vt:lpstr>
      <vt:lpstr>Chart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Chowdary Pudota</cp:lastModifiedBy>
  <dcterms:created xsi:type="dcterms:W3CDTF">2026-10-07T14:49:37Z</dcterms:created>
  <dcterms:modified xsi:type="dcterms:W3CDTF">2026-10-08T06:42:51Z</dcterms:modified>
</cp:coreProperties>
</file>