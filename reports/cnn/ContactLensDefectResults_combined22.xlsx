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md-analysis\reports\cnn\"/>
    </mc:Choice>
  </mc:AlternateContent>
  <xr:revisionPtr revIDLastSave="0" documentId="13_ncr:1_{1EAEC3E7-3209-43F1-B0BE-43F9E8EF2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omparison vs teammate" sheetId="2" r:id="rId2"/>
  </sheets>
  <calcPr calcId="0"/>
</workbook>
</file>

<file path=xl/sharedStrings.xml><?xml version="1.0" encoding="utf-8"?>
<sst xmlns="http://schemas.openxmlformats.org/spreadsheetml/2006/main" count="154" uniqueCount="76">
  <si>
    <t>Dataset</t>
  </si>
  <si>
    <t>Architecture</t>
  </si>
  <si>
    <t>Overall Accuracy (%)</t>
  </si>
  <si>
    <t>Epochs</t>
  </si>
  <si>
    <t>Recall (%)</t>
  </si>
  <si>
    <t>Training time (s)</t>
  </si>
  <si>
    <t>Inference Time per Image(ms)</t>
  </si>
  <si>
    <t>Inference per Image, cold start (ms, estimated)</t>
  </si>
  <si>
    <t>BB</t>
  </si>
  <si>
    <t>BC</t>
  </si>
  <si>
    <t>BI</t>
  </si>
  <si>
    <t>B123</t>
  </si>
  <si>
    <t>BOE</t>
  </si>
  <si>
    <t>BS</t>
  </si>
  <si>
    <t>COC</t>
  </si>
  <si>
    <t>DC</t>
  </si>
  <si>
    <t>DS</t>
  </si>
  <si>
    <t>EP</t>
  </si>
  <si>
    <t>FB</t>
  </si>
  <si>
    <t>FM</t>
  </si>
  <si>
    <t>HF</t>
  </si>
  <si>
    <t>HO</t>
  </si>
  <si>
    <t>LOC</t>
  </si>
  <si>
    <t>LDO</t>
  </si>
  <si>
    <t>ML</t>
  </si>
  <si>
    <t>MPP</t>
  </si>
  <si>
    <t>MUL</t>
  </si>
  <si>
    <t>PM</t>
  </si>
  <si>
    <t>VO</t>
  </si>
  <si>
    <t>WP</t>
  </si>
  <si>
    <t>Datasetver (Combined 22-class, single-scale 20260903 fixed crops, 80-20 stratified split, train+test = single-size, batch 8)</t>
  </si>
  <si>
    <t>ResNet18</t>
  </si>
  <si>
    <t>~3.2</t>
  </si>
  <si>
    <t>ResNet50</t>
  </si>
  <si>
    <t>~8.7</t>
  </si>
  <si>
    <t>ResNet50-Inception  (Multi-scale) *</t>
  </si>
  <si>
    <t>~12.3</t>
  </si>
  <si>
    <t>ResNet50-SE  (Channel attention) **</t>
  </si>
  <si>
    <t>~9.8</t>
  </si>
  <si>
    <t>ResNet50-Inception-SE  (Branch attention) ***</t>
  </si>
  <si>
    <t>ResNet50-Inception-Refine  (Bicubic upsample) ****</t>
  </si>
  <si>
    <t>~12.7</t>
  </si>
  <si>
    <t>* Multi-scale feature extraction architecture</t>
  </si>
  <si>
    <t>** Channel-based attention architecture</t>
  </si>
  <si>
    <t>*** Inception branches with Squeeze-and-Excitation attention inside every branch</t>
  </si>
  <si>
    <t>**** Inception with a bicubic-upsampled, depthwise-refined L5 fusion path</t>
  </si>
  <si>
    <t>BB recall (%)</t>
  </si>
  <si>
    <t>BC recall (%)</t>
  </si>
  <si>
    <t>BI recall (%)</t>
  </si>
  <si>
    <t>B123 recall (%)</t>
  </si>
  <si>
    <t>BOE recall (%)</t>
  </si>
  <si>
    <t>BS recall (%)</t>
  </si>
  <si>
    <t>COC recall (%)</t>
  </si>
  <si>
    <t>DC recall (%)</t>
  </si>
  <si>
    <t>DS recall (%)</t>
  </si>
  <si>
    <t>EP recall (%)</t>
  </si>
  <si>
    <t>FB recall (%)</t>
  </si>
  <si>
    <t>FM recall (%)</t>
  </si>
  <si>
    <t>HF recall (%)</t>
  </si>
  <si>
    <t>HO recall (%)</t>
  </si>
  <si>
    <t>LOC recall (%)</t>
  </si>
  <si>
    <t>LDO recall (%)</t>
  </si>
  <si>
    <t>ML recall (%)</t>
  </si>
  <si>
    <t>MPP recall (%)</t>
  </si>
  <si>
    <t>MUL recall (%)</t>
  </si>
  <si>
    <t>PM recall (%)</t>
  </si>
  <si>
    <t>VO recall (%)</t>
  </si>
  <si>
    <t>WP recall (%)</t>
  </si>
  <si>
    <t>theirs</t>
  </si>
  <si>
    <t>ours</t>
  </si>
  <si>
    <t>delta</t>
  </si>
  <si>
    <t>Comparison of the same six architectures on two different splits of the same 22-class set.</t>
  </si>
  <si>
    <t>theirs = teammate's split, no warmup, supplied 2026-09-15. ours = our split, warm protocol (2 dummy + 1 real-pipeline discard pass before timing).</t>
  </si>
  <si>
    <t>delta = ours minus theirs, in percentage points. Green-free cells (amber) are the per-class blocks.</t>
  </si>
  <si>
    <t>Accuracy is split-dependent, so a delta is not a quality verdict on either split; what it shows is which architectures hold their position across splits.</t>
  </si>
  <si>
    <t>Inference per image is excluded on purpose: their run had no warmup, so their ms/img carries a one-time process cost and is not comparable to our warm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</si>
</sst>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G21" sqref="G21"/>
    </sheetView>
  </sheetViews>
  <sheetFormatPr defaultRowHeight="15" x14ac:dyDescent="0.25"/>
  <cols>
    <col min="1" max="1" width="5" customWidth="1"/>
    <col min="2" max="2" width="21.85546875" customWidth="1"/>
    <col min="3" max="3" width="47.85546875" customWidth="1"/>
    <col min="4" max="4" width="14" customWidth="1"/>
    <col min="5" max="5" width="8" customWidth="1"/>
    <col min="6" max="27" width="7" customWidth="1"/>
    <col min="28" max="28" width="14" customWidth="1"/>
    <col min="29" max="29" width="16" customWidth="1"/>
    <col min="30" max="30" width="20.5703125" style="5" customWidth="1"/>
  </cols>
  <sheetData>
    <row r="1" spans="1:30" x14ac:dyDescent="0.25">
      <c r="A1" s="1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  <c r="AB1" s="7" t="s">
        <v>5</v>
      </c>
      <c r="AC1" s="7" t="s">
        <v>6</v>
      </c>
      <c r="AD1" s="7" t="s">
        <v>7</v>
      </c>
    </row>
    <row r="2" spans="1:30" x14ac:dyDescent="0.25">
      <c r="A2" s="1"/>
      <c r="B2" s="8"/>
      <c r="C2" s="8"/>
      <c r="D2" s="8"/>
      <c r="E2" s="8"/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8"/>
      <c r="AC2" s="8"/>
      <c r="AD2" s="9"/>
    </row>
    <row r="3" spans="1:30" x14ac:dyDescent="0.25">
      <c r="A3" s="3">
        <v>1</v>
      </c>
      <c r="B3" s="10" t="s">
        <v>30</v>
      </c>
      <c r="C3" s="3" t="s">
        <v>31</v>
      </c>
      <c r="D3" s="3">
        <v>82.94</v>
      </c>
      <c r="E3" s="3">
        <v>50</v>
      </c>
      <c r="F3" s="3">
        <v>82.61</v>
      </c>
      <c r="G3" s="3">
        <v>42.86</v>
      </c>
      <c r="H3" s="3">
        <v>22.22</v>
      </c>
      <c r="I3" s="3">
        <v>100</v>
      </c>
      <c r="J3" s="3">
        <v>0</v>
      </c>
      <c r="K3" s="3">
        <v>0</v>
      </c>
      <c r="L3" s="3">
        <v>100</v>
      </c>
      <c r="M3" s="3">
        <v>100</v>
      </c>
      <c r="N3" s="3">
        <v>100</v>
      </c>
      <c r="O3" s="3">
        <v>0</v>
      </c>
      <c r="P3" s="3">
        <v>41.67</v>
      </c>
      <c r="Q3" s="3">
        <v>100</v>
      </c>
      <c r="R3" s="3">
        <v>0</v>
      </c>
      <c r="S3" s="3">
        <v>95.24</v>
      </c>
      <c r="T3" s="3">
        <v>33.33</v>
      </c>
      <c r="U3" s="3">
        <v>84.21</v>
      </c>
      <c r="V3" s="3">
        <v>75</v>
      </c>
      <c r="W3" s="3">
        <v>100</v>
      </c>
      <c r="X3" s="3">
        <v>92.68</v>
      </c>
      <c r="Y3" s="3">
        <v>85.71</v>
      </c>
      <c r="Z3" s="3">
        <v>100</v>
      </c>
      <c r="AA3" s="3">
        <v>64.709999999999994</v>
      </c>
      <c r="AB3" s="3">
        <v>136.80000000000001</v>
      </c>
      <c r="AC3" s="3">
        <v>0.67</v>
      </c>
      <c r="AD3" s="5" t="s">
        <v>32</v>
      </c>
    </row>
    <row r="4" spans="1:30" x14ac:dyDescent="0.25">
      <c r="A4" s="3">
        <v>2</v>
      </c>
      <c r="B4" s="11"/>
      <c r="C4" s="3" t="s">
        <v>33</v>
      </c>
      <c r="D4" s="3">
        <v>88.4</v>
      </c>
      <c r="E4" s="3">
        <v>50</v>
      </c>
      <c r="F4" s="3">
        <v>91.3</v>
      </c>
      <c r="G4" s="3">
        <v>71.430000000000007</v>
      </c>
      <c r="H4" s="3">
        <v>55.56</v>
      </c>
      <c r="I4" s="3">
        <v>100</v>
      </c>
      <c r="J4" s="3">
        <v>0</v>
      </c>
      <c r="K4" s="3">
        <v>0</v>
      </c>
      <c r="L4" s="3">
        <v>100</v>
      </c>
      <c r="M4" s="3">
        <v>100</v>
      </c>
      <c r="N4" s="3">
        <v>100</v>
      </c>
      <c r="O4" s="3">
        <v>0</v>
      </c>
      <c r="P4" s="3">
        <v>66.67</v>
      </c>
      <c r="Q4" s="3">
        <v>100</v>
      </c>
      <c r="R4" s="3">
        <v>0</v>
      </c>
      <c r="S4" s="3">
        <v>100</v>
      </c>
      <c r="T4" s="3">
        <v>66.67</v>
      </c>
      <c r="U4" s="3">
        <v>84.21</v>
      </c>
      <c r="V4" s="3">
        <v>75</v>
      </c>
      <c r="W4" s="3">
        <v>100</v>
      </c>
      <c r="X4" s="3">
        <v>95.12</v>
      </c>
      <c r="Y4" s="3">
        <v>100</v>
      </c>
      <c r="Z4" s="3">
        <v>100</v>
      </c>
      <c r="AA4" s="3">
        <v>70.59</v>
      </c>
      <c r="AB4" s="3">
        <v>345.35</v>
      </c>
      <c r="AC4" s="3">
        <v>1.28</v>
      </c>
      <c r="AD4" s="5" t="s">
        <v>34</v>
      </c>
    </row>
    <row r="5" spans="1:30" x14ac:dyDescent="0.25">
      <c r="A5" s="3">
        <v>3</v>
      </c>
      <c r="B5" s="11"/>
      <c r="C5" s="3" t="s">
        <v>35</v>
      </c>
      <c r="D5" s="3">
        <v>88.05</v>
      </c>
      <c r="E5" s="3">
        <v>50</v>
      </c>
      <c r="F5" s="3">
        <v>82.61</v>
      </c>
      <c r="G5" s="3">
        <v>42.86</v>
      </c>
      <c r="H5" s="3">
        <v>22.22</v>
      </c>
      <c r="I5" s="3">
        <v>100</v>
      </c>
      <c r="J5" s="3">
        <v>0</v>
      </c>
      <c r="K5" s="3">
        <v>0</v>
      </c>
      <c r="L5" s="3">
        <v>100</v>
      </c>
      <c r="M5" s="3">
        <v>100</v>
      </c>
      <c r="N5" s="3">
        <v>100</v>
      </c>
      <c r="O5" s="3">
        <v>0</v>
      </c>
      <c r="P5" s="3">
        <v>91.67</v>
      </c>
      <c r="Q5" s="3">
        <v>100</v>
      </c>
      <c r="R5" s="3">
        <v>50</v>
      </c>
      <c r="S5" s="3">
        <v>100</v>
      </c>
      <c r="T5" s="3">
        <v>33.33</v>
      </c>
      <c r="U5" s="3">
        <v>100</v>
      </c>
      <c r="V5" s="3">
        <v>100</v>
      </c>
      <c r="W5" s="3">
        <v>100</v>
      </c>
      <c r="X5" s="3">
        <v>92.68</v>
      </c>
      <c r="Y5" s="3">
        <v>100</v>
      </c>
      <c r="Z5" s="3">
        <v>100</v>
      </c>
      <c r="AA5" s="3">
        <v>76.47</v>
      </c>
      <c r="AB5" s="3">
        <v>495.01</v>
      </c>
      <c r="AC5" s="3">
        <v>1.75</v>
      </c>
      <c r="AD5" s="5" t="s">
        <v>36</v>
      </c>
    </row>
    <row r="6" spans="1:30" x14ac:dyDescent="0.25">
      <c r="A6" s="3">
        <v>4</v>
      </c>
      <c r="B6" s="11"/>
      <c r="C6" s="3" t="s">
        <v>37</v>
      </c>
      <c r="D6" s="3">
        <v>87.37</v>
      </c>
      <c r="E6" s="3">
        <v>50</v>
      </c>
      <c r="F6" s="3">
        <v>86.96</v>
      </c>
      <c r="G6" s="3">
        <v>71.430000000000007</v>
      </c>
      <c r="H6" s="3">
        <v>33.33</v>
      </c>
      <c r="I6" s="3">
        <v>66.67</v>
      </c>
      <c r="J6" s="3">
        <v>0</v>
      </c>
      <c r="K6" s="3">
        <v>0</v>
      </c>
      <c r="L6" s="3">
        <v>100</v>
      </c>
      <c r="M6" s="3">
        <v>100</v>
      </c>
      <c r="N6" s="3">
        <v>100</v>
      </c>
      <c r="O6" s="3">
        <v>0</v>
      </c>
      <c r="P6" s="3">
        <v>91.67</v>
      </c>
      <c r="Q6" s="3">
        <v>100</v>
      </c>
      <c r="R6" s="3">
        <v>50</v>
      </c>
      <c r="S6" s="3">
        <v>95.24</v>
      </c>
      <c r="T6" s="3">
        <v>50</v>
      </c>
      <c r="U6" s="3">
        <v>84.21</v>
      </c>
      <c r="V6" s="3">
        <v>75</v>
      </c>
      <c r="W6" s="3">
        <v>100</v>
      </c>
      <c r="X6" s="3">
        <v>95.12</v>
      </c>
      <c r="Y6" s="3">
        <v>100</v>
      </c>
      <c r="Z6" s="3">
        <v>75</v>
      </c>
      <c r="AA6" s="3">
        <v>70.59</v>
      </c>
      <c r="AB6" s="3">
        <v>380.94</v>
      </c>
      <c r="AC6" s="3">
        <v>1.51</v>
      </c>
      <c r="AD6" s="5" t="s">
        <v>38</v>
      </c>
    </row>
    <row r="7" spans="1:30" x14ac:dyDescent="0.25">
      <c r="A7" s="3">
        <v>5</v>
      </c>
      <c r="B7" s="11"/>
      <c r="C7" s="6" t="s">
        <v>39</v>
      </c>
      <c r="D7" s="3">
        <v>86.01</v>
      </c>
      <c r="E7" s="3">
        <v>50</v>
      </c>
      <c r="F7" s="3">
        <v>86.96</v>
      </c>
      <c r="G7" s="3">
        <v>57.14</v>
      </c>
      <c r="H7" s="3">
        <v>22.22</v>
      </c>
      <c r="I7" s="3">
        <v>33.33</v>
      </c>
      <c r="J7" s="3">
        <v>0</v>
      </c>
      <c r="K7" s="3">
        <v>0</v>
      </c>
      <c r="L7" s="3">
        <v>100</v>
      </c>
      <c r="M7" s="3">
        <v>100</v>
      </c>
      <c r="N7" s="3">
        <v>100</v>
      </c>
      <c r="O7" s="3">
        <v>0</v>
      </c>
      <c r="P7" s="3">
        <v>91.67</v>
      </c>
      <c r="Q7" s="3">
        <v>100</v>
      </c>
      <c r="R7" s="3">
        <v>50</v>
      </c>
      <c r="S7" s="3">
        <v>95.24</v>
      </c>
      <c r="T7" s="3">
        <v>33.33</v>
      </c>
      <c r="U7" s="3">
        <v>84.21</v>
      </c>
      <c r="V7" s="3">
        <v>75</v>
      </c>
      <c r="W7" s="3">
        <v>100</v>
      </c>
      <c r="X7" s="3">
        <v>95.12</v>
      </c>
      <c r="Y7" s="3">
        <v>100</v>
      </c>
      <c r="Z7" s="3">
        <v>100</v>
      </c>
      <c r="AA7" s="3">
        <v>64.709999999999994</v>
      </c>
      <c r="AB7" s="3">
        <v>449.68</v>
      </c>
      <c r="AC7" s="3">
        <v>1.76</v>
      </c>
      <c r="AD7" s="5" t="s">
        <v>36</v>
      </c>
    </row>
    <row r="8" spans="1:30" x14ac:dyDescent="0.25">
      <c r="A8" s="3">
        <v>6</v>
      </c>
      <c r="B8" s="8"/>
      <c r="C8" s="6" t="s">
        <v>40</v>
      </c>
      <c r="D8" s="3">
        <v>88.05</v>
      </c>
      <c r="E8" s="3">
        <v>50</v>
      </c>
      <c r="F8" s="3">
        <v>82.61</v>
      </c>
      <c r="G8" s="3">
        <v>85.71</v>
      </c>
      <c r="H8" s="3">
        <v>55.56</v>
      </c>
      <c r="I8" s="3">
        <v>100</v>
      </c>
      <c r="J8" s="3">
        <v>0</v>
      </c>
      <c r="K8" s="3">
        <v>0</v>
      </c>
      <c r="L8" s="3">
        <v>100</v>
      </c>
      <c r="M8" s="3">
        <v>100</v>
      </c>
      <c r="N8" s="3">
        <v>100</v>
      </c>
      <c r="O8" s="3">
        <v>0</v>
      </c>
      <c r="P8" s="3">
        <v>58.33</v>
      </c>
      <c r="Q8" s="3">
        <v>100</v>
      </c>
      <c r="R8" s="3">
        <v>50</v>
      </c>
      <c r="S8" s="3">
        <v>95.24</v>
      </c>
      <c r="T8" s="3">
        <v>50</v>
      </c>
      <c r="U8" s="3">
        <v>89.47</v>
      </c>
      <c r="V8" s="3">
        <v>100</v>
      </c>
      <c r="W8" s="3">
        <v>100</v>
      </c>
      <c r="X8" s="3">
        <v>95.12</v>
      </c>
      <c r="Y8" s="3">
        <v>100</v>
      </c>
      <c r="Z8" s="3">
        <v>100</v>
      </c>
      <c r="AA8" s="3">
        <v>70.59</v>
      </c>
      <c r="AB8" s="3">
        <v>2132.1999999999998</v>
      </c>
      <c r="AC8" s="3">
        <v>2.12</v>
      </c>
      <c r="AD8" s="5" t="s">
        <v>41</v>
      </c>
    </row>
    <row r="10" spans="1:30" x14ac:dyDescent="0.25">
      <c r="C10" t="s">
        <v>42</v>
      </c>
    </row>
    <row r="11" spans="1:30" x14ac:dyDescent="0.25">
      <c r="C11" t="s">
        <v>43</v>
      </c>
    </row>
    <row r="12" spans="1:30" x14ac:dyDescent="0.25">
      <c r="C12" t="s">
        <v>44</v>
      </c>
    </row>
    <row r="13" spans="1:30" x14ac:dyDescent="0.25">
      <c r="C13" t="s">
        <v>45</v>
      </c>
    </row>
  </sheetData>
  <mergeCells count="9">
    <mergeCell ref="AB1:AB2"/>
    <mergeCell ref="AD1:AD2"/>
    <mergeCell ref="B3:B8"/>
    <mergeCell ref="F1:AA1"/>
    <mergeCell ref="C1:C2"/>
    <mergeCell ref="B1:B2"/>
    <mergeCell ref="D1:D2"/>
    <mergeCell ref="E1:E2"/>
    <mergeCell ref="AC1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4"/>
  <sheetViews>
    <sheetView workbookViewId="0">
      <pane xSplit="1" ySplit="2" topLeftCell="B3" activePane="bottomRight" state="frozen"/>
      <selection pane="topRight"/>
      <selection pane="bottomLeft"/>
      <selection pane="bottomRight" activeCell="F25" sqref="F25"/>
    </sheetView>
  </sheetViews>
  <sheetFormatPr defaultRowHeight="15" x14ac:dyDescent="0.25"/>
  <cols>
    <col min="1" max="1" width="44" customWidth="1"/>
    <col min="2" max="72" width="9" customWidth="1"/>
  </cols>
  <sheetData>
    <row r="1" spans="1:72" x14ac:dyDescent="0.25">
      <c r="A1" s="7" t="s">
        <v>1</v>
      </c>
      <c r="B1" s="7" t="s">
        <v>2</v>
      </c>
      <c r="C1" s="14"/>
      <c r="D1" s="14"/>
      <c r="E1" s="7" t="s">
        <v>5</v>
      </c>
      <c r="F1" s="14"/>
      <c r="G1" s="7" t="s">
        <v>46</v>
      </c>
      <c r="H1" s="14"/>
      <c r="I1" s="14"/>
      <c r="J1" s="7" t="s">
        <v>47</v>
      </c>
      <c r="K1" s="14"/>
      <c r="L1" s="14"/>
      <c r="M1" s="7" t="s">
        <v>48</v>
      </c>
      <c r="N1" s="14"/>
      <c r="O1" s="14"/>
      <c r="P1" s="7" t="s">
        <v>49</v>
      </c>
      <c r="Q1" s="14"/>
      <c r="R1" s="14"/>
      <c r="S1" s="7" t="s">
        <v>50</v>
      </c>
      <c r="T1" s="14"/>
      <c r="U1" s="14"/>
      <c r="V1" s="7" t="s">
        <v>51</v>
      </c>
      <c r="W1" s="14"/>
      <c r="X1" s="14"/>
      <c r="Y1" s="7" t="s">
        <v>52</v>
      </c>
      <c r="Z1" s="14"/>
      <c r="AA1" s="14"/>
      <c r="AB1" s="7" t="s">
        <v>53</v>
      </c>
      <c r="AC1" s="14"/>
      <c r="AD1" s="14"/>
      <c r="AE1" s="7" t="s">
        <v>54</v>
      </c>
      <c r="AF1" s="14"/>
      <c r="AG1" s="14"/>
      <c r="AH1" s="7" t="s">
        <v>55</v>
      </c>
      <c r="AI1" s="14"/>
      <c r="AJ1" s="14"/>
      <c r="AK1" s="7" t="s">
        <v>56</v>
      </c>
      <c r="AL1" s="14"/>
      <c r="AM1" s="14"/>
      <c r="AN1" s="7" t="s">
        <v>57</v>
      </c>
      <c r="AO1" s="14"/>
      <c r="AP1" s="14"/>
      <c r="AQ1" s="7" t="s">
        <v>58</v>
      </c>
      <c r="AR1" s="14"/>
      <c r="AS1" s="14"/>
      <c r="AT1" s="7" t="s">
        <v>59</v>
      </c>
      <c r="AU1" s="14"/>
      <c r="AV1" s="14"/>
      <c r="AW1" s="7" t="s">
        <v>60</v>
      </c>
      <c r="AX1" s="14"/>
      <c r="AY1" s="14"/>
      <c r="AZ1" s="7" t="s">
        <v>61</v>
      </c>
      <c r="BA1" s="14"/>
      <c r="BB1" s="14"/>
      <c r="BC1" s="7" t="s">
        <v>62</v>
      </c>
      <c r="BD1" s="14"/>
      <c r="BE1" s="14"/>
      <c r="BF1" s="7" t="s">
        <v>63</v>
      </c>
      <c r="BG1" s="14"/>
      <c r="BH1" s="14"/>
      <c r="BI1" s="7" t="s">
        <v>64</v>
      </c>
      <c r="BJ1" s="14"/>
      <c r="BK1" s="14"/>
      <c r="BL1" s="7" t="s">
        <v>65</v>
      </c>
      <c r="BM1" s="14"/>
      <c r="BN1" s="14"/>
      <c r="BO1" s="7" t="s">
        <v>66</v>
      </c>
      <c r="BP1" s="14"/>
      <c r="BQ1" s="14"/>
      <c r="BR1" s="7" t="s">
        <v>67</v>
      </c>
      <c r="BS1" s="14"/>
      <c r="BT1" s="14"/>
    </row>
    <row r="2" spans="1:72" x14ac:dyDescent="0.25">
      <c r="A2" s="14"/>
      <c r="B2" s="2" t="s">
        <v>68</v>
      </c>
      <c r="C2" s="2" t="s">
        <v>69</v>
      </c>
      <c r="D2" s="2" t="s">
        <v>70</v>
      </c>
      <c r="E2" s="2" t="s">
        <v>68</v>
      </c>
      <c r="F2" s="2" t="s">
        <v>69</v>
      </c>
      <c r="G2" s="2" t="s">
        <v>68</v>
      </c>
      <c r="H2" s="2" t="s">
        <v>69</v>
      </c>
      <c r="I2" s="2" t="s">
        <v>70</v>
      </c>
      <c r="J2" s="2" t="s">
        <v>68</v>
      </c>
      <c r="K2" s="2" t="s">
        <v>69</v>
      </c>
      <c r="L2" s="2" t="s">
        <v>70</v>
      </c>
      <c r="M2" s="2" t="s">
        <v>68</v>
      </c>
      <c r="N2" s="2" t="s">
        <v>69</v>
      </c>
      <c r="O2" s="2" t="s">
        <v>70</v>
      </c>
      <c r="P2" s="2" t="s">
        <v>68</v>
      </c>
      <c r="Q2" s="2" t="s">
        <v>69</v>
      </c>
      <c r="R2" s="2" t="s">
        <v>70</v>
      </c>
      <c r="S2" s="2" t="s">
        <v>68</v>
      </c>
      <c r="T2" s="2" t="s">
        <v>69</v>
      </c>
      <c r="U2" s="2" t="s">
        <v>70</v>
      </c>
      <c r="V2" s="2" t="s">
        <v>68</v>
      </c>
      <c r="W2" s="2" t="s">
        <v>69</v>
      </c>
      <c r="X2" s="2" t="s">
        <v>70</v>
      </c>
      <c r="Y2" s="2" t="s">
        <v>68</v>
      </c>
      <c r="Z2" s="2" t="s">
        <v>69</v>
      </c>
      <c r="AA2" s="2" t="s">
        <v>70</v>
      </c>
      <c r="AB2" s="2" t="s">
        <v>68</v>
      </c>
      <c r="AC2" s="2" t="s">
        <v>69</v>
      </c>
      <c r="AD2" s="2" t="s">
        <v>70</v>
      </c>
      <c r="AE2" s="2" t="s">
        <v>68</v>
      </c>
      <c r="AF2" s="2" t="s">
        <v>69</v>
      </c>
      <c r="AG2" s="2" t="s">
        <v>70</v>
      </c>
      <c r="AH2" s="2" t="s">
        <v>68</v>
      </c>
      <c r="AI2" s="2" t="s">
        <v>69</v>
      </c>
      <c r="AJ2" s="2" t="s">
        <v>70</v>
      </c>
      <c r="AK2" s="2" t="s">
        <v>68</v>
      </c>
      <c r="AL2" s="2" t="s">
        <v>69</v>
      </c>
      <c r="AM2" s="2" t="s">
        <v>70</v>
      </c>
      <c r="AN2" s="2" t="s">
        <v>68</v>
      </c>
      <c r="AO2" s="2" t="s">
        <v>69</v>
      </c>
      <c r="AP2" s="2" t="s">
        <v>70</v>
      </c>
      <c r="AQ2" s="2" t="s">
        <v>68</v>
      </c>
      <c r="AR2" s="2" t="s">
        <v>69</v>
      </c>
      <c r="AS2" s="2" t="s">
        <v>70</v>
      </c>
      <c r="AT2" s="2" t="s">
        <v>68</v>
      </c>
      <c r="AU2" s="2" t="s">
        <v>69</v>
      </c>
      <c r="AV2" s="2" t="s">
        <v>70</v>
      </c>
      <c r="AW2" s="2" t="s">
        <v>68</v>
      </c>
      <c r="AX2" s="2" t="s">
        <v>69</v>
      </c>
      <c r="AY2" s="2" t="s">
        <v>70</v>
      </c>
      <c r="AZ2" s="2" t="s">
        <v>68</v>
      </c>
      <c r="BA2" s="2" t="s">
        <v>69</v>
      </c>
      <c r="BB2" s="2" t="s">
        <v>70</v>
      </c>
      <c r="BC2" s="2" t="s">
        <v>68</v>
      </c>
      <c r="BD2" s="2" t="s">
        <v>69</v>
      </c>
      <c r="BE2" s="2" t="s">
        <v>70</v>
      </c>
      <c r="BF2" s="2" t="s">
        <v>68</v>
      </c>
      <c r="BG2" s="2" t="s">
        <v>69</v>
      </c>
      <c r="BH2" s="2" t="s">
        <v>70</v>
      </c>
      <c r="BI2" s="2" t="s">
        <v>68</v>
      </c>
      <c r="BJ2" s="2" t="s">
        <v>69</v>
      </c>
      <c r="BK2" s="2" t="s">
        <v>70</v>
      </c>
      <c r="BL2" s="2" t="s">
        <v>68</v>
      </c>
      <c r="BM2" s="2" t="s">
        <v>69</v>
      </c>
      <c r="BN2" s="2" t="s">
        <v>70</v>
      </c>
      <c r="BO2" s="2" t="s">
        <v>68</v>
      </c>
      <c r="BP2" s="2" t="s">
        <v>69</v>
      </c>
      <c r="BQ2" s="2" t="s">
        <v>70</v>
      </c>
      <c r="BR2" s="2" t="s">
        <v>68</v>
      </c>
      <c r="BS2" s="2" t="s">
        <v>69</v>
      </c>
      <c r="BT2" s="2" t="s">
        <v>70</v>
      </c>
    </row>
    <row r="3" spans="1:72" x14ac:dyDescent="0.25">
      <c r="A3" s="3" t="s">
        <v>31</v>
      </c>
      <c r="B3" s="3">
        <v>87.03</v>
      </c>
      <c r="C3" s="3">
        <v>82.94</v>
      </c>
      <c r="D3" s="3">
        <v>-4.09</v>
      </c>
      <c r="E3" s="3">
        <v>228.23</v>
      </c>
      <c r="F3" s="3">
        <v>136.80000000000001</v>
      </c>
      <c r="G3" s="4">
        <v>82.61</v>
      </c>
      <c r="H3" s="4">
        <v>82.61</v>
      </c>
      <c r="I3" s="4">
        <v>0</v>
      </c>
      <c r="J3" s="4">
        <v>57.14</v>
      </c>
      <c r="K3" s="4">
        <v>42.86</v>
      </c>
      <c r="L3" s="4">
        <v>-14.28</v>
      </c>
      <c r="M3" s="4">
        <v>50</v>
      </c>
      <c r="N3" s="4">
        <v>22.22</v>
      </c>
      <c r="O3" s="4">
        <v>-27.78</v>
      </c>
      <c r="P3" s="4">
        <v>0</v>
      </c>
      <c r="Q3" s="4">
        <v>100</v>
      </c>
      <c r="R3" s="4">
        <v>100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100</v>
      </c>
      <c r="Z3" s="4">
        <v>100</v>
      </c>
      <c r="AA3" s="4">
        <v>0</v>
      </c>
      <c r="AB3" s="4">
        <v>100</v>
      </c>
      <c r="AC3" s="4">
        <v>100</v>
      </c>
      <c r="AD3" s="4">
        <v>0</v>
      </c>
      <c r="AE3" s="4">
        <v>100</v>
      </c>
      <c r="AF3" s="4">
        <v>100</v>
      </c>
      <c r="AG3" s="4">
        <v>0</v>
      </c>
      <c r="AH3" s="4">
        <v>33.33</v>
      </c>
      <c r="AI3" s="4">
        <v>0</v>
      </c>
      <c r="AJ3" s="4">
        <v>-33.33</v>
      </c>
      <c r="AK3" s="4">
        <v>100</v>
      </c>
      <c r="AL3" s="4">
        <v>41.67</v>
      </c>
      <c r="AM3" s="4">
        <v>-58.33</v>
      </c>
      <c r="AN3" s="4">
        <v>92.86</v>
      </c>
      <c r="AO3" s="4">
        <v>100</v>
      </c>
      <c r="AP3" s="4">
        <v>7.14</v>
      </c>
      <c r="AQ3" s="4">
        <v>0</v>
      </c>
      <c r="AR3" s="4">
        <v>0</v>
      </c>
      <c r="AS3" s="4">
        <v>0</v>
      </c>
      <c r="AT3" s="4">
        <v>90.48</v>
      </c>
      <c r="AU3" s="4">
        <v>95.24</v>
      </c>
      <c r="AV3" s="4">
        <v>4.76</v>
      </c>
      <c r="AW3" s="4">
        <v>50</v>
      </c>
      <c r="AX3" s="4">
        <v>33.33</v>
      </c>
      <c r="AY3" s="4">
        <v>-16.670000000000002</v>
      </c>
      <c r="AZ3" s="4">
        <v>84.21</v>
      </c>
      <c r="BA3" s="4">
        <v>84.21</v>
      </c>
      <c r="BB3" s="4">
        <v>0</v>
      </c>
      <c r="BC3" s="4">
        <v>75</v>
      </c>
      <c r="BD3" s="4">
        <v>75</v>
      </c>
      <c r="BE3" s="4">
        <v>0</v>
      </c>
      <c r="BF3" s="4">
        <v>100</v>
      </c>
      <c r="BG3" s="4">
        <v>100</v>
      </c>
      <c r="BH3" s="4">
        <v>0</v>
      </c>
      <c r="BI3" s="4">
        <v>97.62</v>
      </c>
      <c r="BJ3" s="4">
        <v>92.68</v>
      </c>
      <c r="BK3" s="4">
        <v>-4.9400000000000004</v>
      </c>
      <c r="BL3" s="4">
        <v>85.71</v>
      </c>
      <c r="BM3" s="4">
        <v>85.71</v>
      </c>
      <c r="BN3" s="4">
        <v>0</v>
      </c>
      <c r="BO3" s="4">
        <v>60</v>
      </c>
      <c r="BP3" s="4">
        <v>100</v>
      </c>
      <c r="BQ3" s="4">
        <v>40</v>
      </c>
      <c r="BR3" s="4">
        <v>88.24</v>
      </c>
      <c r="BS3" s="4">
        <v>64.709999999999994</v>
      </c>
      <c r="BT3" s="4">
        <v>-23.53</v>
      </c>
    </row>
    <row r="4" spans="1:72" x14ac:dyDescent="0.25">
      <c r="A4" s="3" t="s">
        <v>33</v>
      </c>
      <c r="B4" s="3">
        <v>86.69</v>
      </c>
      <c r="C4" s="3">
        <v>88.4</v>
      </c>
      <c r="D4" s="3">
        <v>1.71</v>
      </c>
      <c r="E4" s="3">
        <v>352.06</v>
      </c>
      <c r="F4" s="3">
        <v>345.35</v>
      </c>
      <c r="G4" s="4">
        <v>86.96</v>
      </c>
      <c r="H4" s="4">
        <v>91.3</v>
      </c>
      <c r="I4" s="4">
        <v>4.34</v>
      </c>
      <c r="J4" s="4">
        <v>57.14</v>
      </c>
      <c r="K4" s="4">
        <v>71.430000000000007</v>
      </c>
      <c r="L4" s="4">
        <v>14.29</v>
      </c>
      <c r="M4" s="4">
        <v>37.5</v>
      </c>
      <c r="N4" s="4">
        <v>55.56</v>
      </c>
      <c r="O4" s="4">
        <v>18.059999999999999</v>
      </c>
      <c r="P4" s="4">
        <v>66.67</v>
      </c>
      <c r="Q4" s="4">
        <v>100</v>
      </c>
      <c r="R4" s="4">
        <v>33.33</v>
      </c>
      <c r="S4" s="4">
        <v>0</v>
      </c>
      <c r="T4" s="4">
        <v>0</v>
      </c>
      <c r="U4" s="4">
        <v>0</v>
      </c>
      <c r="V4" s="4">
        <v>100</v>
      </c>
      <c r="W4" s="4">
        <v>0</v>
      </c>
      <c r="X4" s="4">
        <v>-100</v>
      </c>
      <c r="Y4" s="4">
        <v>100</v>
      </c>
      <c r="Z4" s="4">
        <v>100</v>
      </c>
      <c r="AA4" s="4">
        <v>0</v>
      </c>
      <c r="AB4" s="4">
        <v>100</v>
      </c>
      <c r="AC4" s="4">
        <v>100</v>
      </c>
      <c r="AD4" s="4">
        <v>0</v>
      </c>
      <c r="AE4" s="4">
        <v>100</v>
      </c>
      <c r="AF4" s="4">
        <v>100</v>
      </c>
      <c r="AG4" s="4">
        <v>0</v>
      </c>
      <c r="AH4" s="4">
        <v>0</v>
      </c>
      <c r="AI4" s="4">
        <v>0</v>
      </c>
      <c r="AJ4" s="4">
        <v>0</v>
      </c>
      <c r="AK4" s="4">
        <v>75</v>
      </c>
      <c r="AL4" s="4">
        <v>66.67</v>
      </c>
      <c r="AM4" s="4">
        <v>-8.33</v>
      </c>
      <c r="AN4" s="4">
        <v>85.71</v>
      </c>
      <c r="AO4" s="4">
        <v>100</v>
      </c>
      <c r="AP4" s="4">
        <v>14.29</v>
      </c>
      <c r="AQ4" s="4">
        <v>50</v>
      </c>
      <c r="AR4" s="4">
        <v>0</v>
      </c>
      <c r="AS4" s="4">
        <v>-50</v>
      </c>
      <c r="AT4" s="4">
        <v>95.24</v>
      </c>
      <c r="AU4" s="4">
        <v>100</v>
      </c>
      <c r="AV4" s="4">
        <v>4.76</v>
      </c>
      <c r="AW4" s="4">
        <v>33.33</v>
      </c>
      <c r="AX4" s="4">
        <v>66.67</v>
      </c>
      <c r="AY4" s="4">
        <v>33.340000000000003</v>
      </c>
      <c r="AZ4" s="4">
        <v>89.47</v>
      </c>
      <c r="BA4" s="4">
        <v>84.21</v>
      </c>
      <c r="BB4" s="4">
        <v>-5.26</v>
      </c>
      <c r="BC4" s="4">
        <v>100</v>
      </c>
      <c r="BD4" s="4">
        <v>75</v>
      </c>
      <c r="BE4" s="4">
        <v>-25</v>
      </c>
      <c r="BF4" s="4">
        <v>100</v>
      </c>
      <c r="BG4" s="4">
        <v>100</v>
      </c>
      <c r="BH4" s="4">
        <v>0</v>
      </c>
      <c r="BI4" s="4">
        <v>90.48</v>
      </c>
      <c r="BJ4" s="4">
        <v>95.12</v>
      </c>
      <c r="BK4" s="4">
        <v>4.6399999999999997</v>
      </c>
      <c r="BL4" s="4">
        <v>100</v>
      </c>
      <c r="BM4" s="4">
        <v>100</v>
      </c>
      <c r="BN4" s="4">
        <v>0</v>
      </c>
      <c r="BO4" s="4">
        <v>60</v>
      </c>
      <c r="BP4" s="4">
        <v>100</v>
      </c>
      <c r="BQ4" s="4">
        <v>40</v>
      </c>
      <c r="BR4" s="4">
        <v>88.24</v>
      </c>
      <c r="BS4" s="4">
        <v>70.59</v>
      </c>
      <c r="BT4" s="4">
        <v>-17.649999999999999</v>
      </c>
    </row>
    <row r="5" spans="1:72" x14ac:dyDescent="0.25">
      <c r="A5" s="3" t="s">
        <v>35</v>
      </c>
      <c r="B5" s="3">
        <v>90.44</v>
      </c>
      <c r="C5" s="3">
        <v>88.05</v>
      </c>
      <c r="D5" s="3">
        <v>-2.39</v>
      </c>
      <c r="E5" s="3">
        <v>417.55</v>
      </c>
      <c r="F5" s="3">
        <v>495.01</v>
      </c>
      <c r="G5" s="4">
        <v>91.3</v>
      </c>
      <c r="H5" s="4">
        <v>82.61</v>
      </c>
      <c r="I5" s="4">
        <v>-8.69</v>
      </c>
      <c r="J5" s="4">
        <v>71.430000000000007</v>
      </c>
      <c r="K5" s="4">
        <v>42.86</v>
      </c>
      <c r="L5" s="4">
        <v>-28.57</v>
      </c>
      <c r="M5" s="4">
        <v>75</v>
      </c>
      <c r="N5" s="4">
        <v>22.22</v>
      </c>
      <c r="O5" s="4">
        <v>-52.78</v>
      </c>
      <c r="P5" s="4">
        <v>66.67</v>
      </c>
      <c r="Q5" s="4">
        <v>100</v>
      </c>
      <c r="R5" s="4">
        <v>33.33</v>
      </c>
      <c r="S5" s="4">
        <v>33.33</v>
      </c>
      <c r="T5" s="4">
        <v>0</v>
      </c>
      <c r="U5" s="4">
        <v>-33.33</v>
      </c>
      <c r="V5" s="4">
        <v>100</v>
      </c>
      <c r="W5" s="4">
        <v>0</v>
      </c>
      <c r="X5" s="4">
        <v>-100</v>
      </c>
      <c r="Y5" s="4">
        <v>100</v>
      </c>
      <c r="Z5" s="4">
        <v>100</v>
      </c>
      <c r="AA5" s="4">
        <v>0</v>
      </c>
      <c r="AB5" s="4">
        <v>100</v>
      </c>
      <c r="AC5" s="4">
        <v>100</v>
      </c>
      <c r="AD5" s="4">
        <v>0</v>
      </c>
      <c r="AE5" s="4">
        <v>100</v>
      </c>
      <c r="AF5" s="4">
        <v>100</v>
      </c>
      <c r="AG5" s="4">
        <v>0</v>
      </c>
      <c r="AH5" s="4">
        <v>33.33</v>
      </c>
      <c r="AI5" s="4">
        <v>0</v>
      </c>
      <c r="AJ5" s="4">
        <v>-33.33</v>
      </c>
      <c r="AK5" s="4">
        <v>83.33</v>
      </c>
      <c r="AL5" s="4">
        <v>91.67</v>
      </c>
      <c r="AM5" s="4">
        <v>8.34</v>
      </c>
      <c r="AN5" s="4">
        <v>100</v>
      </c>
      <c r="AO5" s="4">
        <v>100</v>
      </c>
      <c r="AP5" s="4">
        <v>0</v>
      </c>
      <c r="AQ5" s="4">
        <v>0</v>
      </c>
      <c r="AR5" s="4">
        <v>50</v>
      </c>
      <c r="AS5" s="4">
        <v>50</v>
      </c>
      <c r="AT5" s="4">
        <v>90.48</v>
      </c>
      <c r="AU5" s="4">
        <v>100</v>
      </c>
      <c r="AV5" s="4">
        <v>9.52</v>
      </c>
      <c r="AW5" s="4">
        <v>33.33</v>
      </c>
      <c r="AX5" s="4">
        <v>33.33</v>
      </c>
      <c r="AY5" s="4">
        <v>0</v>
      </c>
      <c r="AZ5" s="4">
        <v>84.21</v>
      </c>
      <c r="BA5" s="4">
        <v>100</v>
      </c>
      <c r="BB5" s="4">
        <v>15.79</v>
      </c>
      <c r="BC5" s="4">
        <v>100</v>
      </c>
      <c r="BD5" s="4">
        <v>100</v>
      </c>
      <c r="BE5" s="4">
        <v>0</v>
      </c>
      <c r="BF5" s="4">
        <v>100</v>
      </c>
      <c r="BG5" s="4">
        <v>100</v>
      </c>
      <c r="BH5" s="4">
        <v>0</v>
      </c>
      <c r="BI5" s="4">
        <v>100</v>
      </c>
      <c r="BJ5" s="4">
        <v>92.68</v>
      </c>
      <c r="BK5" s="4">
        <v>-7.32</v>
      </c>
      <c r="BL5" s="4">
        <v>100</v>
      </c>
      <c r="BM5" s="4">
        <v>100</v>
      </c>
      <c r="BN5" s="4">
        <v>0</v>
      </c>
      <c r="BO5" s="4">
        <v>60</v>
      </c>
      <c r="BP5" s="4">
        <v>100</v>
      </c>
      <c r="BQ5" s="4">
        <v>40</v>
      </c>
      <c r="BR5" s="4">
        <v>88.24</v>
      </c>
      <c r="BS5" s="4">
        <v>76.47</v>
      </c>
      <c r="BT5" s="4">
        <v>-11.77</v>
      </c>
    </row>
    <row r="6" spans="1:72" x14ac:dyDescent="0.25">
      <c r="A6" s="3" t="s">
        <v>37</v>
      </c>
      <c r="B6" s="3">
        <v>89.42</v>
      </c>
      <c r="C6" s="3">
        <v>87.37</v>
      </c>
      <c r="D6" s="3">
        <v>-2.0499999999999998</v>
      </c>
      <c r="E6" s="3">
        <v>389.02</v>
      </c>
      <c r="F6" s="3">
        <v>380.94</v>
      </c>
      <c r="G6" s="4">
        <v>82.61</v>
      </c>
      <c r="H6" s="4">
        <v>86.96</v>
      </c>
      <c r="I6" s="4">
        <v>4.3499999999999996</v>
      </c>
      <c r="J6" s="4">
        <v>71.430000000000007</v>
      </c>
      <c r="K6" s="4">
        <v>71.430000000000007</v>
      </c>
      <c r="L6" s="4">
        <v>0</v>
      </c>
      <c r="M6" s="4">
        <v>62.5</v>
      </c>
      <c r="N6" s="4">
        <v>33.33</v>
      </c>
      <c r="O6" s="4">
        <v>-29.17</v>
      </c>
      <c r="P6" s="4">
        <v>33.33</v>
      </c>
      <c r="Q6" s="4">
        <v>66.67</v>
      </c>
      <c r="R6" s="4">
        <v>33.340000000000003</v>
      </c>
      <c r="S6" s="4">
        <v>0</v>
      </c>
      <c r="T6" s="4">
        <v>0</v>
      </c>
      <c r="U6" s="4">
        <v>0</v>
      </c>
      <c r="V6" s="4">
        <v>100</v>
      </c>
      <c r="W6" s="4">
        <v>0</v>
      </c>
      <c r="X6" s="4">
        <v>-100</v>
      </c>
      <c r="Y6" s="4">
        <v>100</v>
      </c>
      <c r="Z6" s="4">
        <v>100</v>
      </c>
      <c r="AA6" s="4">
        <v>0</v>
      </c>
      <c r="AB6" s="4">
        <v>100</v>
      </c>
      <c r="AC6" s="4">
        <v>100</v>
      </c>
      <c r="AD6" s="4">
        <v>0</v>
      </c>
      <c r="AE6" s="4">
        <v>100</v>
      </c>
      <c r="AF6" s="4">
        <v>100</v>
      </c>
      <c r="AG6" s="4">
        <v>0</v>
      </c>
      <c r="AH6" s="4">
        <v>0</v>
      </c>
      <c r="AI6" s="4">
        <v>0</v>
      </c>
      <c r="AJ6" s="4">
        <v>0</v>
      </c>
      <c r="AK6" s="4">
        <v>100</v>
      </c>
      <c r="AL6" s="4">
        <v>91.67</v>
      </c>
      <c r="AM6" s="4">
        <v>-8.33</v>
      </c>
      <c r="AN6" s="4">
        <v>100</v>
      </c>
      <c r="AO6" s="4">
        <v>100</v>
      </c>
      <c r="AP6" s="4">
        <v>0</v>
      </c>
      <c r="AQ6" s="4">
        <v>0</v>
      </c>
      <c r="AR6" s="4">
        <v>50</v>
      </c>
      <c r="AS6" s="4">
        <v>50</v>
      </c>
      <c r="AT6" s="4">
        <v>95.24</v>
      </c>
      <c r="AU6" s="4">
        <v>95.24</v>
      </c>
      <c r="AV6" s="4">
        <v>0</v>
      </c>
      <c r="AW6" s="4">
        <v>50</v>
      </c>
      <c r="AX6" s="4">
        <v>50</v>
      </c>
      <c r="AY6" s="4">
        <v>0</v>
      </c>
      <c r="AZ6" s="4">
        <v>78.95</v>
      </c>
      <c r="BA6" s="4">
        <v>84.21</v>
      </c>
      <c r="BB6" s="4">
        <v>5.26</v>
      </c>
      <c r="BC6" s="4">
        <v>100</v>
      </c>
      <c r="BD6" s="4">
        <v>75</v>
      </c>
      <c r="BE6" s="4">
        <v>-25</v>
      </c>
      <c r="BF6" s="4">
        <v>100</v>
      </c>
      <c r="BG6" s="4">
        <v>100</v>
      </c>
      <c r="BH6" s="4">
        <v>0</v>
      </c>
      <c r="BI6" s="4">
        <v>95.24</v>
      </c>
      <c r="BJ6" s="4">
        <v>95.12</v>
      </c>
      <c r="BK6" s="4">
        <v>-0.12</v>
      </c>
      <c r="BL6" s="4">
        <v>100</v>
      </c>
      <c r="BM6" s="4">
        <v>100</v>
      </c>
      <c r="BN6" s="4">
        <v>0</v>
      </c>
      <c r="BO6" s="4">
        <v>60</v>
      </c>
      <c r="BP6" s="4">
        <v>75</v>
      </c>
      <c r="BQ6" s="4">
        <v>15</v>
      </c>
      <c r="BR6" s="4">
        <v>100</v>
      </c>
      <c r="BS6" s="4">
        <v>70.59</v>
      </c>
      <c r="BT6" s="4">
        <v>-29.41</v>
      </c>
    </row>
    <row r="7" spans="1:72" x14ac:dyDescent="0.25">
      <c r="A7" s="3" t="s">
        <v>39</v>
      </c>
      <c r="B7" s="3">
        <v>88.74</v>
      </c>
      <c r="C7" s="3">
        <v>86.01</v>
      </c>
      <c r="D7" s="3">
        <v>-2.73</v>
      </c>
      <c r="E7" s="3">
        <v>455.26</v>
      </c>
      <c r="F7" s="3">
        <v>449.68</v>
      </c>
      <c r="G7" s="4">
        <v>86.96</v>
      </c>
      <c r="H7" s="4">
        <v>86.96</v>
      </c>
      <c r="I7" s="4">
        <v>0</v>
      </c>
      <c r="J7" s="4">
        <v>85.71</v>
      </c>
      <c r="K7" s="4">
        <v>57.14</v>
      </c>
      <c r="L7" s="4">
        <v>-28.57</v>
      </c>
      <c r="M7" s="4">
        <v>37.5</v>
      </c>
      <c r="N7" s="4">
        <v>22.22</v>
      </c>
      <c r="O7" s="4">
        <v>-15.28</v>
      </c>
      <c r="P7" s="4">
        <v>33.33</v>
      </c>
      <c r="Q7" s="4">
        <v>33.33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100</v>
      </c>
      <c r="Z7" s="4">
        <v>100</v>
      </c>
      <c r="AA7" s="4">
        <v>0</v>
      </c>
      <c r="AB7" s="4">
        <v>100</v>
      </c>
      <c r="AC7" s="4">
        <v>100</v>
      </c>
      <c r="AD7" s="4">
        <v>0</v>
      </c>
      <c r="AE7" s="4">
        <v>100</v>
      </c>
      <c r="AF7" s="4">
        <v>100</v>
      </c>
      <c r="AG7" s="4">
        <v>0</v>
      </c>
      <c r="AH7" s="4">
        <v>0</v>
      </c>
      <c r="AI7" s="4">
        <v>0</v>
      </c>
      <c r="AJ7" s="4">
        <v>0</v>
      </c>
      <c r="AK7" s="4">
        <v>100</v>
      </c>
      <c r="AL7" s="4">
        <v>91.67</v>
      </c>
      <c r="AM7" s="4">
        <v>-8.33</v>
      </c>
      <c r="AN7" s="4">
        <v>92.86</v>
      </c>
      <c r="AO7" s="4">
        <v>100</v>
      </c>
      <c r="AP7" s="4">
        <v>7.14</v>
      </c>
      <c r="AQ7" s="4">
        <v>100</v>
      </c>
      <c r="AR7" s="4">
        <v>50</v>
      </c>
      <c r="AS7" s="4">
        <v>-50</v>
      </c>
      <c r="AT7" s="4">
        <v>95.24</v>
      </c>
      <c r="AU7" s="4">
        <v>95.24</v>
      </c>
      <c r="AV7" s="4">
        <v>0</v>
      </c>
      <c r="AW7" s="4">
        <v>33.33</v>
      </c>
      <c r="AX7" s="4">
        <v>33.33</v>
      </c>
      <c r="AY7" s="4">
        <v>0</v>
      </c>
      <c r="AZ7" s="4">
        <v>78.95</v>
      </c>
      <c r="BA7" s="4">
        <v>84.21</v>
      </c>
      <c r="BB7" s="4">
        <v>5.26</v>
      </c>
      <c r="BC7" s="4">
        <v>100</v>
      </c>
      <c r="BD7" s="4">
        <v>75</v>
      </c>
      <c r="BE7" s="4">
        <v>-25</v>
      </c>
      <c r="BF7" s="4">
        <v>100</v>
      </c>
      <c r="BG7" s="4">
        <v>100</v>
      </c>
      <c r="BH7" s="4">
        <v>0</v>
      </c>
      <c r="BI7" s="4">
        <v>97.62</v>
      </c>
      <c r="BJ7" s="4">
        <v>95.12</v>
      </c>
      <c r="BK7" s="4">
        <v>-2.5</v>
      </c>
      <c r="BL7" s="4">
        <v>100</v>
      </c>
      <c r="BM7" s="4">
        <v>100</v>
      </c>
      <c r="BN7" s="4">
        <v>0</v>
      </c>
      <c r="BO7" s="4">
        <v>60</v>
      </c>
      <c r="BP7" s="4">
        <v>100</v>
      </c>
      <c r="BQ7" s="4">
        <v>40</v>
      </c>
      <c r="BR7" s="4">
        <v>88.24</v>
      </c>
      <c r="BS7" s="4">
        <v>64.709999999999994</v>
      </c>
      <c r="BT7" s="4">
        <v>-23.53</v>
      </c>
    </row>
    <row r="8" spans="1:72" ht="30" x14ac:dyDescent="0.25">
      <c r="A8" s="3" t="s">
        <v>40</v>
      </c>
      <c r="B8" s="3">
        <v>91.81</v>
      </c>
      <c r="C8" s="3">
        <v>88.05</v>
      </c>
      <c r="D8" s="3">
        <v>-3.76</v>
      </c>
      <c r="E8" s="3">
        <v>2131.1999999999998</v>
      </c>
      <c r="F8" s="3">
        <v>2132.1999999999998</v>
      </c>
      <c r="G8" s="4">
        <v>86.96</v>
      </c>
      <c r="H8" s="4">
        <v>82.61</v>
      </c>
      <c r="I8" s="4">
        <v>-4.3499999999999996</v>
      </c>
      <c r="J8" s="4">
        <v>85.71</v>
      </c>
      <c r="K8" s="4">
        <v>85.71</v>
      </c>
      <c r="L8" s="4">
        <v>0</v>
      </c>
      <c r="M8" s="4">
        <v>100</v>
      </c>
      <c r="N8" s="4">
        <v>55.56</v>
      </c>
      <c r="O8" s="4">
        <v>-44.44</v>
      </c>
      <c r="P8" s="4">
        <v>66.67</v>
      </c>
      <c r="Q8" s="4">
        <v>100</v>
      </c>
      <c r="R8" s="4">
        <v>33.33</v>
      </c>
      <c r="S8" s="4">
        <v>33.33</v>
      </c>
      <c r="T8" s="4">
        <v>0</v>
      </c>
      <c r="U8" s="4">
        <v>-33.33</v>
      </c>
      <c r="V8" s="4">
        <v>100</v>
      </c>
      <c r="W8" s="4">
        <v>0</v>
      </c>
      <c r="X8" s="4">
        <v>-100</v>
      </c>
      <c r="Y8" s="4">
        <v>100</v>
      </c>
      <c r="Z8" s="4">
        <v>100</v>
      </c>
      <c r="AA8" s="4">
        <v>0</v>
      </c>
      <c r="AB8" s="4">
        <v>100</v>
      </c>
      <c r="AC8" s="4">
        <v>100</v>
      </c>
      <c r="AD8" s="4">
        <v>0</v>
      </c>
      <c r="AE8" s="4">
        <v>100</v>
      </c>
      <c r="AF8" s="4">
        <v>100</v>
      </c>
      <c r="AG8" s="4">
        <v>0</v>
      </c>
      <c r="AH8" s="4">
        <v>33.33</v>
      </c>
      <c r="AI8" s="4">
        <v>0</v>
      </c>
      <c r="AJ8" s="4">
        <v>-33.33</v>
      </c>
      <c r="AK8" s="4">
        <v>100</v>
      </c>
      <c r="AL8" s="4">
        <v>58.33</v>
      </c>
      <c r="AM8" s="4">
        <v>-41.67</v>
      </c>
      <c r="AN8" s="4">
        <v>92.86</v>
      </c>
      <c r="AO8" s="4">
        <v>100</v>
      </c>
      <c r="AP8" s="4">
        <v>7.14</v>
      </c>
      <c r="AQ8" s="4">
        <v>0</v>
      </c>
      <c r="AR8" s="4">
        <v>50</v>
      </c>
      <c r="AS8" s="4">
        <v>50</v>
      </c>
      <c r="AT8" s="4">
        <v>90.48</v>
      </c>
      <c r="AU8" s="4">
        <v>95.24</v>
      </c>
      <c r="AV8" s="4">
        <v>4.76</v>
      </c>
      <c r="AW8" s="4">
        <v>50</v>
      </c>
      <c r="AX8" s="4">
        <v>50</v>
      </c>
      <c r="AY8" s="4">
        <v>0</v>
      </c>
      <c r="AZ8" s="4">
        <v>84.21</v>
      </c>
      <c r="BA8" s="4">
        <v>89.47</v>
      </c>
      <c r="BB8" s="4">
        <v>5.26</v>
      </c>
      <c r="BC8" s="4">
        <v>100</v>
      </c>
      <c r="BD8" s="4">
        <v>100</v>
      </c>
      <c r="BE8" s="4">
        <v>0</v>
      </c>
      <c r="BF8" s="4">
        <v>100</v>
      </c>
      <c r="BG8" s="4">
        <v>100</v>
      </c>
      <c r="BH8" s="4">
        <v>0</v>
      </c>
      <c r="BI8" s="4">
        <v>97.62</v>
      </c>
      <c r="BJ8" s="4">
        <v>95.12</v>
      </c>
      <c r="BK8" s="4">
        <v>-2.5</v>
      </c>
      <c r="BL8" s="4">
        <v>100</v>
      </c>
      <c r="BM8" s="4">
        <v>100</v>
      </c>
      <c r="BN8" s="4">
        <v>0</v>
      </c>
      <c r="BO8" s="4">
        <v>60</v>
      </c>
      <c r="BP8" s="4">
        <v>100</v>
      </c>
      <c r="BQ8" s="4">
        <v>40</v>
      </c>
      <c r="BR8" s="4">
        <v>94.12</v>
      </c>
      <c r="BS8" s="4">
        <v>70.59</v>
      </c>
      <c r="BT8" s="4">
        <v>-23.53</v>
      </c>
    </row>
    <row r="10" spans="1:72" x14ac:dyDescent="0.25">
      <c r="A10" t="s">
        <v>71</v>
      </c>
    </row>
    <row r="11" spans="1:72" x14ac:dyDescent="0.25">
      <c r="A11" t="s">
        <v>72</v>
      </c>
    </row>
    <row r="12" spans="1:72" x14ac:dyDescent="0.25">
      <c r="A12" t="s">
        <v>73</v>
      </c>
    </row>
    <row r="13" spans="1:72" x14ac:dyDescent="0.25">
      <c r="A13" t="s">
        <v>74</v>
      </c>
    </row>
    <row r="14" spans="1:72" x14ac:dyDescent="0.25">
      <c r="A14" t="s">
        <v>75</v>
      </c>
    </row>
  </sheetData>
  <mergeCells count="25">
    <mergeCell ref="E1:F1"/>
    <mergeCell ref="A1:A2"/>
    <mergeCell ref="J1:L1"/>
    <mergeCell ref="P1:R1"/>
    <mergeCell ref="AZ1:BB1"/>
    <mergeCell ref="BL1:BN1"/>
    <mergeCell ref="AQ1:AS1"/>
    <mergeCell ref="AW1:AY1"/>
    <mergeCell ref="G1:I1"/>
    <mergeCell ref="BI1:BK1"/>
    <mergeCell ref="S1:U1"/>
    <mergeCell ref="BC1:BE1"/>
    <mergeCell ref="AH1:AJ1"/>
    <mergeCell ref="AN1:AP1"/>
    <mergeCell ref="B1:D1"/>
    <mergeCell ref="Y1:AA1"/>
    <mergeCell ref="AE1:AG1"/>
    <mergeCell ref="BR1:BT1"/>
    <mergeCell ref="M1:O1"/>
    <mergeCell ref="V1:X1"/>
    <mergeCell ref="AB1:AD1"/>
    <mergeCell ref="BO1:BQ1"/>
    <mergeCell ref="AT1:AV1"/>
    <mergeCell ref="BF1:BH1"/>
    <mergeCell ref="AK1:AM1"/>
  </mergeCells>
  <conditionalFormatting sqref="B2:B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 vs teammate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2026-09-15T06:06:31Z</dcterms:created>
  <dcterms:modified xsi:type="dcterms:W3CDTF">2026-09-28T21:10:31Z</dcterms:modified>
</cp:coreProperties>
</file>