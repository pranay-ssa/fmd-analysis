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fmd-analysis\reports\multilabel\"/>
    </mc:Choice>
  </mc:AlternateContent>
  <xr:revisionPtr revIDLastSave="0" documentId="13_ncr:1_{E5A08584-DC97-40A6-889E-DA23000842DE}" xr6:coauthVersionLast="47" xr6:coauthVersionMax="47" xr10:uidLastSave="{00000000-0000-0000-0000-000000000000}"/>
  <bookViews>
    <workbookView xWindow="-120" yWindow="-120" windowWidth="29040" windowHeight="15720" activeTab="4" xr2:uid="{00000000-000D-0000-FFFF-FFFF00000000}"/>
  </bookViews>
  <sheets>
    <sheet name="Run Summary" sheetId="1" r:id="rId1"/>
    <sheet name="Per-Class Metrics" sheetId="2" r:id="rId2"/>
    <sheet name="Confusion per class" sheetId="3" r:id="rId3"/>
    <sheet name="Epoch History" sheetId="4" r:id="rId4"/>
    <sheet name="Metric Guide" sheetId="5" r:id="rId5"/>
  </sheets>
  <calcPr calcId="0"/>
</workbook>
</file>

<file path=xl/sharedStrings.xml><?xml version="1.0" encoding="utf-8"?>
<sst xmlns="http://schemas.openxmlformats.org/spreadsheetml/2006/main" count="136" uniqueCount="120">
  <si>
    <t>Item</t>
  </si>
  <si>
    <t>Value</t>
  </si>
  <si>
    <t>Notes</t>
  </si>
  <si>
    <t>What was run</t>
  </si>
  <si>
    <t>ResNet50, multi-label head (5 outputs)</t>
  </si>
  <si>
    <t>One sigmoid output per tag, not a 5-way softmax: an image can carry several tags at once</t>
  </si>
  <si>
    <t>Tags predicted</t>
  </si>
  <si>
    <t>Cavity Off Center; Folded Lens; Multiple Lenses; Missing Primary Package; Missing Lens</t>
  </si>
  <si>
    <t>The 5 lens-presentation (LP) tags</t>
  </si>
  <si>
    <t>Images</t>
  </si>
  <si>
    <t>All images carrying at least one LP tag in the 20260922 annotation export</t>
  </si>
  <si>
    <t>Split</t>
  </si>
  <si>
    <t>2700 train / 677 test (80/20)</t>
  </si>
  <si>
    <t>Stratified by tag combination, grouped by content hash so duplicate images cannot sit on both sides; verified with 15 independent checks</t>
  </si>
  <si>
    <t>Input size</t>
  </si>
  <si>
    <t>224 x 224</t>
  </si>
  <si>
    <t>Standard ResNet50 input</t>
  </si>
  <si>
    <t>Loss</t>
  </si>
  <si>
    <t>BCEWithLogitsLoss</t>
  </si>
  <si>
    <t>Binary cross-entropy per tag: the multi-label loss. Plain baseline, no class weighting</t>
  </si>
  <si>
    <t>Optimizer</t>
  </si>
  <si>
    <t>SGD, lr 1e-4, momentum 0.9, Nesterov</t>
  </si>
  <si>
    <t>Matches the notebook shared; no warmup</t>
  </si>
  <si>
    <t>Epochs / batch</t>
  </si>
  <si>
    <t>50 / 8</t>
  </si>
  <si>
    <t>Fixed schedule, no early stopping (no validation set in the two-way split)</t>
  </si>
  <si>
    <t>Seed</t>
  </si>
  <si>
    <t>Single seed; run-to-run variation not yet measured on this data</t>
  </si>
  <si>
    <t>Machine / time</t>
  </si>
  <si>
    <t>A100 80GB, ~8 minutes</t>
  </si>
  <si>
    <t>9.8 s per epoch; weights and predictions saved on the VM, metric copies mirrored in the repo</t>
  </si>
  <si>
    <t>Headline result (677 test images, threshold 0.5)</t>
  </si>
  <si>
    <t>Metric</t>
  </si>
  <si>
    <t>How to read it</t>
  </si>
  <si>
    <t>Macro AUPRC (metric of record)</t>
  </si>
  <si>
    <t>Threshold-free ranking quality, averaged over the 5 tags. 1.0 is perfect. The standard headline for imbalanced multi-label problems</t>
  </si>
  <si>
    <t>Macro F1</t>
  </si>
  <si>
    <t>Precision-recall balance at threshold 0.5, averaged over tags. Dragged down by Folded Lens alone: without it, 0.985</t>
  </si>
  <si>
    <t>Micro precision / recall</t>
  </si>
  <si>
    <t>0.997 / 0.944</t>
  </si>
  <si>
    <t>Across all 3,385 label cells pooled: of every alert the model fires, 99.7% are right; it catches 94.4% of all true tags</t>
  </si>
  <si>
    <t>Hamming loss</t>
  </si>
  <si>
    <t>Fraction of label cells wrong: 12.4 errors per 1,000 cells (3,385 cells = 677 images x 5 tags)</t>
  </si>
  <si>
    <t>Exact match ratio</t>
  </si>
  <si>
    <t>Images where all 5 tags are simultaneously correct: 636 of 677</t>
  </si>
  <si>
    <t>The one weak class, read before anyone asks</t>
  </si>
  <si>
    <t>Folded Lens (F1 0.103, recall 0.056)</t>
  </si>
  <si>
    <t>Known data property, not a bug</t>
  </si>
  <si>
    <t>Folded Lens never appears without Multiple Lenses in the whole export (178 of 178), so the model predicts Multiple Lenses (289/289 recall) and rarely fires the separate Folded Lens output. The risk was named in the design doc before the run. FL recall rises to 0.31 at threshold 0.1, so signal exists. Levers if asked: class weighting (pos_weight), reliable-only training, more FL examples at annotation time</t>
  </si>
  <si>
    <t>Verification chain</t>
  </si>
  <si>
    <t>15 checks PASS, run twice (local + VM copy)</t>
  </si>
  <si>
    <t>Counts, per-class positives, zero content-hash leaks, test identical to the approved variant, labels match the master file</t>
  </si>
  <si>
    <t>Training</t>
  </si>
  <si>
    <t>2-step real-image smoke PASS before launch</t>
  </si>
  <si>
    <t>GPU confirmed free (A100 80GB, 0 MiB); files transferred md5-identical; one smoke-only GPU bug found and fixed before the real run</t>
  </si>
  <si>
    <t>Results</t>
  </si>
  <si>
    <t>12 checks PASS</t>
  </si>
  <si>
    <t>Every headline number recomputed from the raw saved predictions and matched exactly; prediction rows proven to be exactly the 677 test images</t>
  </si>
  <si>
    <t>Train time (total)</t>
  </si>
  <si>
    <t>486 s (8.1 min, 50 epochs)</t>
  </si>
  <si>
    <t>Measured from the per-epoch history; A100 80GB</t>
  </si>
  <si>
    <t>Inference speed (warm, per image)</t>
  </si>
  <si>
    <t>0.62 ms model-only; 3.11 ms end-to-end</t>
  </si>
  <si>
    <t>Batch 8, A100 80GB, median of 5 passes over the 677 test images. End-to-end includes disk read and resize; model-only is GPU work on a preloaded batch. Same warm-inference convention as the previous CNN reports</t>
  </si>
  <si>
    <t>Class</t>
  </si>
  <si>
    <t>Test support</t>
  </si>
  <si>
    <t>Precision</t>
  </si>
  <si>
    <t>Recall</t>
  </si>
  <si>
    <t>F1</t>
  </si>
  <si>
    <t>AUPRC</t>
  </si>
  <si>
    <t>Reading</t>
  </si>
  <si>
    <t>Cavity Off Center</t>
  </si>
  <si>
    <t>Every alert right; 2 of 37 missed</t>
  </si>
  <si>
    <t>Folded Lens</t>
  </si>
  <si>
    <t>The weak class: tied to Multiple Lenses in the labels, so the model rarely fires it. See Run Summary</t>
  </si>
  <si>
    <t>Multiple Lenses</t>
  </si>
  <si>
    <t>Nothing missed out of 289; 1 false alarm</t>
  </si>
  <si>
    <t>Missing Primary Package</t>
  </si>
  <si>
    <t>Perfect on the test set</t>
  </si>
  <si>
    <t>Missing Lens</t>
  </si>
  <si>
    <t>Every alert right; 4 of 65 missed</t>
  </si>
  <si>
    <t>Macro (unweighted mean)</t>
  </si>
  <si>
    <t>micro 0.997</t>
  </si>
  <si>
    <t>micro 0.944</t>
  </si>
  <si>
    <t>Macro treats all 5 classes equally regardless of size; micro pools all decisions</t>
  </si>
  <si>
    <t>TP</t>
  </si>
  <si>
    <t>FP</t>
  </si>
  <si>
    <t>FN</t>
  </si>
  <si>
    <t>TN</t>
  </si>
  <si>
    <t>2 images the model called healthy for this tag</t>
  </si>
  <si>
    <t>34 of 36 missed; the class the levers target</t>
  </si>
  <si>
    <t>Nothing missed; 1 image wrongly flagged</t>
  </si>
  <si>
    <t>Perfect cell</t>
  </si>
  <si>
    <t>4 images the model called healthy for this tag</t>
  </si>
  <si>
    <t>Why one table per class, not one 5x5 grid</t>
  </si>
  <si>
    <t>Multi-label output gives each tag its own yes/no per image, so each class has its own small confusion table and an image can appear in several rows at once. A single 5x5 grid belongs to single-label (multi-class) problems</t>
  </si>
  <si>
    <t>Epoch</t>
  </si>
  <si>
    <t>Train loss</t>
  </si>
  <si>
    <t>Seconds</t>
  </si>
  <si>
    <t>What it means and when to use it</t>
  </si>
  <si>
    <t>Multi-label vs multi-class</t>
  </si>
  <si>
    <t>Multi-class: every image gets exactly one of 5 labels (softmax). Multi-label: each of the 5 tags is an independent yes/no per image (5 sigmoid outputs, binary loss), because an image can genuinely carry several conditions. The model outputs a score from 0 to 1 per tag; a tag counts as predicted when its score clears a threshold (0.5 here). Changing the threshold trades precision against recall without retraining</t>
  </si>
  <si>
    <t>Of the images where the model FIRES a tag, how many truly have it. Low precision = false alarms. Crucial if a human reviews every alert</t>
  </si>
  <si>
    <t>Of the images that TRULY have a tag, how many the model catches. Low recall = misses. Crucial if a miss is costly (a defective lens passing through)</t>
  </si>
  <si>
    <t>Harmonic mean of precision and recall: one number for their balance. Punishes a model that wins one by sacrificing the other</t>
  </si>
  <si>
    <t>AUPRC (average precision)</t>
  </si>
  <si>
    <t>Area under precision-vs-recall across ALL thresholds: ranking quality, independent of any single threshold. With imbalanced classes (this data: 5% to 43% positive rate per tag) AUPRC is the standard metric of record; macro AUPRC averages it over the 5 tags</t>
  </si>
  <si>
    <t>Macro vs micro</t>
  </si>
  <si>
    <t>Macro = simple average over classes: every class counts equally, so a rare class moves it as much as a common one. Micro = all decisions pooled: big classes dominate. Here macro F1 (0.808) sits far below micro (0.99+) precisely because the small Folded Lens class is weak while the big classes are near perfect</t>
  </si>
  <si>
    <t>Fraction of individual label cells wrong (677 images x 5 tags = 3,385 cells). 0.01241 = 42 wrong cells in total. Lower is better, 0 is perfect</t>
  </si>
  <si>
    <t>Share of images where ALL 5 tags are right at once. The strictest multi-label score: 0.93944 means 636 of 677 images are fully correct. One wrong tag fails the whole image, so it is always the lowest of the headline numbers</t>
  </si>
  <si>
    <t>Confusion counts (TP/FP/FN/TN)</t>
  </si>
  <si>
    <t>TP = has tag, model fires. FP = lacks tag, model fires (false alarm). FN = has tag, model silent (a miss). TN = lacks tag, model silent. Precision = TP/(TP+FP); Recall = TP/(TP+FN)</t>
  </si>
  <si>
    <t>Threshold 0.5</t>
  </si>
  <si>
    <t>The convention that a score above 0.5 counts as predicted. It is a reporting choice, not part of the model: the raw scores are saved, so any other threshold, per class, can be read off without retraining. At 0.1, Folded Lens recall rises from 0.056 to 0.31</t>
  </si>
  <si>
    <t>Single seed caveat</t>
  </si>
  <si>
    <t>One run, seed 42. Run-to-run variation has not been measured on this data, so small differences between configs should not be over-read until a noise floor exists</t>
  </si>
  <si>
    <t>Negatives caveat</t>
  </si>
  <si>
    <t>A 0 in the labels means 'no tag recorded'. 2,143 of 6,097 images sit in partially annotated tasks, so some zeros are 'not checked' rather than 'confirmed absent'. This baseline used all rows; the registry carries a reliable-only variant to measure how much that matters</t>
  </si>
  <si>
    <t>Multi-label ResNet50, first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</si>
</sst>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4"/>
      <color rgb="FF1F4E79"/>
      <name val="Calibri"/>
    </font>
    <font>
      <b/>
      <sz val="11"/>
      <name val="Calibri"/>
    </font>
    <font>
      <b/>
      <sz val="11"/>
      <color rgb="FFFFFFFF"/>
      <name val="Calibri"/>
    </font>
    <font>
      <b/>
      <sz val="12"/>
      <color rgb="FF1F4E79"/>
      <name val="Calibri"/>
    </font>
    <font>
      <b/>
      <sz val="11"/>
      <color theme="1"/>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17">
    <xf numFmtId="0" fontId="0" fillId="0" borderId="0" xfId="0"/>
    <xf numFmtId="0" fontId="3" fillId="2" borderId="0" xfId="0" applyFont="1" applyFill="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2" borderId="0" xfId="0" applyFont="1" applyFill="1"/>
    <xf numFmtId="164" fontId="0" fillId="0" borderId="0" xfId="0" applyNumberFormat="1"/>
    <xf numFmtId="0" fontId="2" fillId="0" borderId="0" xfId="0" applyFont="1"/>
    <xf numFmtId="164" fontId="2" fillId="0" borderId="0" xfId="0" applyNumberFormat="1" applyFont="1"/>
    <xf numFmtId="0" fontId="0" fillId="0" borderId="0" xfId="0" applyAlignment="1">
      <alignment horizontal="center" vertical="top" wrapText="1"/>
    </xf>
    <xf numFmtId="0" fontId="0" fillId="0" borderId="0" xfId="0" applyAlignment="1">
      <alignment horizontal="left" vertical="top" wrapText="1"/>
    </xf>
    <xf numFmtId="0" fontId="2" fillId="0" borderId="0" xfId="0" applyFont="1" applyAlignment="1">
      <alignment wrapText="1"/>
    </xf>
    <xf numFmtId="0" fontId="0" fillId="0" borderId="0" xfId="0" applyAlignment="1">
      <alignment wrapText="1"/>
    </xf>
    <xf numFmtId="164" fontId="0" fillId="0" borderId="0" xfId="0" applyNumberFormat="1" applyAlignment="1">
      <alignment wrapText="1"/>
    </xf>
    <xf numFmtId="0" fontId="1" fillId="0" borderId="0" xfId="0" applyFont="1" applyAlignment="1">
      <alignment horizontal="center" vertical="top" wrapText="1"/>
    </xf>
    <xf numFmtId="0" fontId="0" fillId="0" borderId="0" xfId="0"/>
    <xf numFmtId="0" fontId="4" fillId="0" borderId="0" xfId="0" applyFont="1" applyAlignment="1">
      <alignment horizontal="center"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Train loss over 50 epochs (SGD lr 1e-4, batch 8)</a:t>
            </a:r>
          </a:p>
        </c:rich>
      </c:tx>
      <c:overlay val="1"/>
    </c:title>
    <c:autoTitleDeleted val="0"/>
    <c:plotArea>
      <c:layout/>
      <c:lineChart>
        <c:grouping val="standard"/>
        <c:varyColors val="1"/>
        <c:ser>
          <c:idx val="0"/>
          <c:order val="0"/>
          <c:tx>
            <c:strRef>
              <c:f>'Epoch History'!$B$1</c:f>
              <c:strCache>
                <c:ptCount val="1"/>
                <c:pt idx="0">
                  <c:v>Train loss</c:v>
                </c:pt>
              </c:strCache>
            </c:strRef>
          </c:tx>
          <c:spPr>
            <a:ln>
              <a:prstDash val="solid"/>
            </a:ln>
          </c:spPr>
          <c:marker>
            <c:symbol val="none"/>
          </c:marker>
          <c:cat>
            <c:numRef>
              <c:f>'Epoch History'!$A$2:$A$51</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'Epoch History'!$B$2:$B$51</c:f>
              <c:numCache>
                <c:formatCode>General</c:formatCode>
                <c:ptCount val="50"/>
                <c:pt idx="0">
                  <c:v>0.57042207037961046</c:v>
                </c:pt>
                <c:pt idx="1">
                  <c:v>0.39184394898238012</c:v>
                </c:pt>
                <c:pt idx="2">
                  <c:v>0.31171561320622759</c:v>
                </c:pt>
                <c:pt idx="3">
                  <c:v>0.26019527678136473</c:v>
                </c:pt>
                <c:pt idx="4">
                  <c:v>0.2246985978550381</c:v>
                </c:pt>
                <c:pt idx="5">
                  <c:v>0.20003145743299411</c:v>
                </c:pt>
                <c:pt idx="6">
                  <c:v>0.18138232887343131</c:v>
                </c:pt>
                <c:pt idx="7">
                  <c:v>0.1657907712349185</c:v>
                </c:pt>
                <c:pt idx="8">
                  <c:v>0.1510765758929429</c:v>
                </c:pt>
                <c:pt idx="9">
                  <c:v>0.13829947117302149</c:v>
                </c:pt>
                <c:pt idx="10">
                  <c:v>0.13336002042999981</c:v>
                </c:pt>
                <c:pt idx="11">
                  <c:v>0.12089586757951309</c:v>
                </c:pt>
                <c:pt idx="12">
                  <c:v>0.11816297900897479</c:v>
                </c:pt>
                <c:pt idx="13">
                  <c:v>0.10720866515680599</c:v>
                </c:pt>
                <c:pt idx="14">
                  <c:v>0.1041432730991531</c:v>
                </c:pt>
                <c:pt idx="15">
                  <c:v>9.8154315048897711E-2</c:v>
                </c:pt>
                <c:pt idx="16">
                  <c:v>9.42255887830699E-2</c:v>
                </c:pt>
                <c:pt idx="17">
                  <c:v>9.1583480743898285E-2</c:v>
                </c:pt>
                <c:pt idx="18">
                  <c:v>8.5871244017724641E-2</c:v>
                </c:pt>
                <c:pt idx="19">
                  <c:v>8.6225408621960223E-2</c:v>
                </c:pt>
                <c:pt idx="20">
                  <c:v>8.0418021256724995E-2</c:v>
                </c:pt>
                <c:pt idx="21">
                  <c:v>7.9404113027784565E-2</c:v>
                </c:pt>
                <c:pt idx="22">
                  <c:v>7.563157047386522E-2</c:v>
                </c:pt>
                <c:pt idx="23">
                  <c:v>7.2861659234320669E-2</c:v>
                </c:pt>
                <c:pt idx="24">
                  <c:v>6.8782629679750518E-2</c:v>
                </c:pt>
                <c:pt idx="25">
                  <c:v>6.6990945201229168E-2</c:v>
                </c:pt>
                <c:pt idx="26">
                  <c:v>6.6015213827292127E-2</c:v>
                </c:pt>
                <c:pt idx="27">
                  <c:v>6.3831519859808464E-2</c:v>
                </c:pt>
                <c:pt idx="28">
                  <c:v>6.0615328290948157E-2</c:v>
                </c:pt>
                <c:pt idx="29">
                  <c:v>6.0751371709284963E-2</c:v>
                </c:pt>
                <c:pt idx="30">
                  <c:v>5.7697150798307527E-2</c:v>
                </c:pt>
                <c:pt idx="31">
                  <c:v>5.8163428403161188E-2</c:v>
                </c:pt>
                <c:pt idx="32">
                  <c:v>5.5704527417266808E-2</c:v>
                </c:pt>
                <c:pt idx="33">
                  <c:v>5.1588782027915669E-2</c:v>
                </c:pt>
                <c:pt idx="34">
                  <c:v>5.1632547199174213E-2</c:v>
                </c:pt>
                <c:pt idx="35">
                  <c:v>4.8169485405087469E-2</c:v>
                </c:pt>
                <c:pt idx="36">
                  <c:v>4.9410985697198803E-2</c:v>
                </c:pt>
                <c:pt idx="37">
                  <c:v>4.6594466288332588E-2</c:v>
                </c:pt>
                <c:pt idx="38">
                  <c:v>4.879098899386547E-2</c:v>
                </c:pt>
                <c:pt idx="39">
                  <c:v>4.5797745299835997E-2</c:v>
                </c:pt>
                <c:pt idx="40">
                  <c:v>4.4363789337652698E-2</c:v>
                </c:pt>
                <c:pt idx="41">
                  <c:v>4.3506319240011547E-2</c:v>
                </c:pt>
                <c:pt idx="42">
                  <c:v>4.0515484143462448E-2</c:v>
                </c:pt>
                <c:pt idx="43">
                  <c:v>4.1461468792899893E-2</c:v>
                </c:pt>
                <c:pt idx="44">
                  <c:v>3.7765598098436992E-2</c:v>
                </c:pt>
                <c:pt idx="45">
                  <c:v>3.7531379821399848E-2</c:v>
                </c:pt>
                <c:pt idx="46">
                  <c:v>3.7405407162452192E-2</c:v>
                </c:pt>
                <c:pt idx="47">
                  <c:v>3.5136109571214068E-2</c:v>
                </c:pt>
                <c:pt idx="48">
                  <c:v>3.6260175851208193E-2</c:v>
                </c:pt>
                <c:pt idx="49">
                  <c:v>3.7402831339449792E-2</c:v>
                </c:pt>
              </c:numCache>
            </c:numRef>
          </c:val>
          <c:smooth val="1"/>
          <c:extLst>
            <c:ext xmlns:c16="http://schemas.microsoft.com/office/drawing/2014/chart" uri="{C3380CC4-5D6E-409C-BE32-E72D297353CC}">
              <c16:uniqueId val="{00000000-04D5-4AA6-85B5-9908DBF1EE6A}"/>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Epoch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BCE loss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0</xdr:rowOff>
    </xdr:from>
    <xdr:ext cx="7200000" cy="36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opLeftCell="A7" zoomScale="114" workbookViewId="0">
      <selection activeCell="I5" sqref="I5"/>
    </sheetView>
  </sheetViews>
  <sheetFormatPr defaultRowHeight="15" x14ac:dyDescent="0.25"/>
  <cols>
    <col min="1" max="1" width="34" customWidth="1"/>
    <col min="2" max="2" width="40" customWidth="1"/>
    <col min="3" max="3" width="78" customWidth="1"/>
  </cols>
  <sheetData>
    <row r="1" spans="1:3" ht="37.5" customHeight="1" x14ac:dyDescent="0.25">
      <c r="A1" s="13" t="s">
        <v>119</v>
      </c>
      <c r="B1" s="14"/>
      <c r="C1" s="14"/>
    </row>
    <row r="3" spans="1:3" x14ac:dyDescent="0.25">
      <c r="A3" s="1" t="s">
        <v>0</v>
      </c>
      <c r="B3" s="1" t="s">
        <v>1</v>
      </c>
      <c r="C3" s="1" t="s">
        <v>2</v>
      </c>
    </row>
    <row r="4" spans="1:3" ht="30" customHeight="1" x14ac:dyDescent="0.25">
      <c r="A4" s="2" t="s">
        <v>3</v>
      </c>
      <c r="B4" s="9" t="s">
        <v>4</v>
      </c>
      <c r="C4" s="3" t="s">
        <v>5</v>
      </c>
    </row>
    <row r="5" spans="1:3" ht="45" customHeight="1" x14ac:dyDescent="0.25">
      <c r="A5" s="2" t="s">
        <v>6</v>
      </c>
      <c r="B5" s="9" t="s">
        <v>7</v>
      </c>
      <c r="C5" s="3" t="s">
        <v>8</v>
      </c>
    </row>
    <row r="6" spans="1:3" x14ac:dyDescent="0.25">
      <c r="A6" s="2" t="s">
        <v>9</v>
      </c>
      <c r="B6" s="8">
        <v>3377</v>
      </c>
      <c r="C6" s="3" t="s">
        <v>10</v>
      </c>
    </row>
    <row r="7" spans="1:3" ht="30" customHeight="1" x14ac:dyDescent="0.25">
      <c r="A7" s="2" t="s">
        <v>11</v>
      </c>
      <c r="B7" s="9" t="s">
        <v>12</v>
      </c>
      <c r="C7" s="3" t="s">
        <v>13</v>
      </c>
    </row>
    <row r="8" spans="1:3" x14ac:dyDescent="0.25">
      <c r="A8" s="2" t="s">
        <v>14</v>
      </c>
      <c r="B8" s="8" t="s">
        <v>15</v>
      </c>
      <c r="C8" s="3" t="s">
        <v>16</v>
      </c>
    </row>
    <row r="9" spans="1:3" x14ac:dyDescent="0.25">
      <c r="A9" s="2" t="s">
        <v>17</v>
      </c>
      <c r="B9" s="8" t="s">
        <v>18</v>
      </c>
      <c r="C9" s="3" t="s">
        <v>19</v>
      </c>
    </row>
    <row r="10" spans="1:3" x14ac:dyDescent="0.25">
      <c r="A10" s="2" t="s">
        <v>20</v>
      </c>
      <c r="B10" s="9" t="s">
        <v>21</v>
      </c>
      <c r="C10" s="3" t="s">
        <v>22</v>
      </c>
    </row>
    <row r="11" spans="1:3" x14ac:dyDescent="0.25">
      <c r="A11" s="2" t="s">
        <v>23</v>
      </c>
      <c r="B11" s="8" t="s">
        <v>24</v>
      </c>
      <c r="C11" s="3" t="s">
        <v>25</v>
      </c>
    </row>
    <row r="12" spans="1:3" x14ac:dyDescent="0.25">
      <c r="A12" s="2" t="s">
        <v>26</v>
      </c>
      <c r="B12" s="8">
        <v>42</v>
      </c>
      <c r="C12" s="3" t="s">
        <v>27</v>
      </c>
    </row>
    <row r="13" spans="1:3" ht="30" customHeight="1" x14ac:dyDescent="0.25">
      <c r="A13" s="2" t="s">
        <v>28</v>
      </c>
      <c r="B13" s="9" t="s">
        <v>29</v>
      </c>
      <c r="C13" s="3" t="s">
        <v>30</v>
      </c>
    </row>
    <row r="15" spans="1:3" ht="31.5" customHeight="1" x14ac:dyDescent="0.25">
      <c r="A15" s="15" t="s">
        <v>31</v>
      </c>
      <c r="B15" s="14"/>
      <c r="C15" s="14"/>
    </row>
    <row r="16" spans="1:3" x14ac:dyDescent="0.25">
      <c r="A16" s="1" t="s">
        <v>32</v>
      </c>
      <c r="B16" s="1" t="s">
        <v>1</v>
      </c>
      <c r="C16" s="1" t="s">
        <v>33</v>
      </c>
    </row>
    <row r="17" spans="1:3" ht="30" customHeight="1" x14ac:dyDescent="0.25">
      <c r="A17" s="2" t="s">
        <v>34</v>
      </c>
      <c r="B17" s="8">
        <v>0.90454000000000001</v>
      </c>
      <c r="C17" s="3" t="s">
        <v>35</v>
      </c>
    </row>
    <row r="18" spans="1:3" ht="30" customHeight="1" x14ac:dyDescent="0.25">
      <c r="A18" s="2" t="s">
        <v>36</v>
      </c>
      <c r="B18" s="8">
        <v>0.80825999999999998</v>
      </c>
      <c r="C18" s="3" t="s">
        <v>37</v>
      </c>
    </row>
    <row r="19" spans="1:3" ht="30" customHeight="1" x14ac:dyDescent="0.25">
      <c r="A19" s="2" t="s">
        <v>38</v>
      </c>
      <c r="B19" s="8" t="s">
        <v>39</v>
      </c>
      <c r="C19" s="3" t="s">
        <v>40</v>
      </c>
    </row>
    <row r="20" spans="1:3" ht="30" customHeight="1" x14ac:dyDescent="0.25">
      <c r="A20" s="2" t="s">
        <v>41</v>
      </c>
      <c r="B20" s="8">
        <v>1.2409999999999999E-2</v>
      </c>
      <c r="C20" s="3" t="s">
        <v>42</v>
      </c>
    </row>
    <row r="21" spans="1:3" x14ac:dyDescent="0.25">
      <c r="A21" s="2" t="s">
        <v>43</v>
      </c>
      <c r="B21" s="8">
        <v>0.93944000000000005</v>
      </c>
      <c r="C21" s="3" t="s">
        <v>44</v>
      </c>
    </row>
    <row r="23" spans="1:3" ht="31.5" customHeight="1" x14ac:dyDescent="0.25">
      <c r="A23" s="15" t="s">
        <v>45</v>
      </c>
      <c r="B23" s="14"/>
      <c r="C23" s="14"/>
    </row>
    <row r="24" spans="1:3" ht="75" customHeight="1" x14ac:dyDescent="0.25">
      <c r="A24" s="2" t="s">
        <v>46</v>
      </c>
      <c r="B24" s="3" t="s">
        <v>47</v>
      </c>
      <c r="C24" s="3" t="s">
        <v>48</v>
      </c>
    </row>
    <row r="26" spans="1:3" ht="15.75" customHeight="1" x14ac:dyDescent="0.25">
      <c r="A26" s="15" t="s">
        <v>49</v>
      </c>
      <c r="B26" s="15"/>
      <c r="C26" s="15"/>
    </row>
    <row r="27" spans="1:3" ht="30" customHeight="1" x14ac:dyDescent="0.25">
      <c r="A27" s="2" t="s">
        <v>11</v>
      </c>
      <c r="B27" s="3" t="s">
        <v>50</v>
      </c>
      <c r="C27" s="3" t="s">
        <v>51</v>
      </c>
    </row>
    <row r="28" spans="1:3" ht="30" customHeight="1" x14ac:dyDescent="0.25">
      <c r="A28" s="2" t="s">
        <v>52</v>
      </c>
      <c r="B28" s="3" t="s">
        <v>53</v>
      </c>
      <c r="C28" s="3" t="s">
        <v>54</v>
      </c>
    </row>
    <row r="29" spans="1:3" ht="30" customHeight="1" x14ac:dyDescent="0.25">
      <c r="A29" s="2" t="s">
        <v>55</v>
      </c>
      <c r="B29" s="3" t="s">
        <v>56</v>
      </c>
      <c r="C29" s="3" t="s">
        <v>57</v>
      </c>
    </row>
    <row r="30" spans="1:3" x14ac:dyDescent="0.25">
      <c r="A30" s="16" t="s">
        <v>58</v>
      </c>
      <c r="B30" t="s">
        <v>59</v>
      </c>
      <c r="C30" s="11" t="s">
        <v>60</v>
      </c>
    </row>
    <row r="31" spans="1:3" ht="45" x14ac:dyDescent="0.25">
      <c r="A31" s="16" t="s">
        <v>61</v>
      </c>
      <c r="B31" t="s">
        <v>62</v>
      </c>
      <c r="C31" s="11" t="s">
        <v>63</v>
      </c>
    </row>
  </sheetData>
  <mergeCells count="4">
    <mergeCell ref="A1:C1"/>
    <mergeCell ref="A23:C23"/>
    <mergeCell ref="A15:C15"/>
    <mergeCell ref="A26:C2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zoomScale="168" workbookViewId="0">
      <selection activeCell="G14" sqref="G14"/>
    </sheetView>
  </sheetViews>
  <sheetFormatPr defaultRowHeight="15" x14ac:dyDescent="0.25"/>
  <cols>
    <col min="1" max="1" width="26" customWidth="1"/>
    <col min="2" max="2" width="12" customWidth="1"/>
    <col min="3" max="6" width="11" customWidth="1"/>
    <col min="7" max="7" width="70.42578125" customWidth="1"/>
  </cols>
  <sheetData>
    <row r="1" spans="1:7" x14ac:dyDescent="0.25">
      <c r="A1" s="4" t="s">
        <v>64</v>
      </c>
      <c r="B1" s="4" t="s">
        <v>65</v>
      </c>
      <c r="C1" s="4" t="s">
        <v>66</v>
      </c>
      <c r="D1" s="4" t="s">
        <v>67</v>
      </c>
      <c r="E1" s="4" t="s">
        <v>68</v>
      </c>
      <c r="F1" s="4" t="s">
        <v>69</v>
      </c>
      <c r="G1" s="4" t="s">
        <v>70</v>
      </c>
    </row>
    <row r="2" spans="1:7" x14ac:dyDescent="0.25">
      <c r="A2" t="s">
        <v>71</v>
      </c>
      <c r="B2">
        <v>37</v>
      </c>
      <c r="C2" s="5">
        <v>1</v>
      </c>
      <c r="D2" s="5">
        <v>0.94594999999999996</v>
      </c>
      <c r="E2" s="5">
        <v>0.97221999999999997</v>
      </c>
      <c r="F2" s="5">
        <v>1</v>
      </c>
      <c r="G2" s="3" t="s">
        <v>72</v>
      </c>
    </row>
    <row r="3" spans="1:7" s="11" customFormat="1" ht="33" customHeight="1" x14ac:dyDescent="0.25">
      <c r="A3" s="11" t="s">
        <v>73</v>
      </c>
      <c r="B3" s="11">
        <v>36</v>
      </c>
      <c r="C3" s="12">
        <v>0.66666999999999998</v>
      </c>
      <c r="D3" s="12">
        <v>5.5559999999999998E-2</v>
      </c>
      <c r="E3" s="12">
        <v>0.10256</v>
      </c>
      <c r="F3" s="12">
        <v>0.52300000000000002</v>
      </c>
      <c r="G3" s="11" t="s">
        <v>74</v>
      </c>
    </row>
    <row r="4" spans="1:7" x14ac:dyDescent="0.25">
      <c r="A4" t="s">
        <v>75</v>
      </c>
      <c r="B4">
        <v>289</v>
      </c>
      <c r="C4" s="5">
        <v>0.99655000000000005</v>
      </c>
      <c r="D4" s="5">
        <v>1</v>
      </c>
      <c r="E4" s="5">
        <v>0.99826999999999999</v>
      </c>
      <c r="F4" s="5">
        <v>1</v>
      </c>
      <c r="G4" s="3" t="s">
        <v>76</v>
      </c>
    </row>
    <row r="5" spans="1:7" x14ac:dyDescent="0.25">
      <c r="A5" t="s">
        <v>77</v>
      </c>
      <c r="B5">
        <v>286</v>
      </c>
      <c r="C5" s="5">
        <v>1</v>
      </c>
      <c r="D5" s="5">
        <v>1</v>
      </c>
      <c r="E5" s="5">
        <v>1</v>
      </c>
      <c r="F5" s="5">
        <v>1</v>
      </c>
      <c r="G5" s="3" t="s">
        <v>78</v>
      </c>
    </row>
    <row r="6" spans="1:7" x14ac:dyDescent="0.25">
      <c r="A6" t="s">
        <v>79</v>
      </c>
      <c r="B6">
        <v>65</v>
      </c>
      <c r="C6" s="5">
        <v>1</v>
      </c>
      <c r="D6" s="5">
        <v>0.93845999999999996</v>
      </c>
      <c r="E6" s="5">
        <v>0.96825000000000006</v>
      </c>
      <c r="F6" s="5">
        <v>1</v>
      </c>
      <c r="G6" s="3" t="s">
        <v>80</v>
      </c>
    </row>
    <row r="8" spans="1:7" ht="30" customHeight="1" x14ac:dyDescent="0.25">
      <c r="A8" s="6" t="s">
        <v>81</v>
      </c>
      <c r="B8" s="6">
        <v>677</v>
      </c>
      <c r="C8" s="6" t="s">
        <v>82</v>
      </c>
      <c r="D8" s="6" t="s">
        <v>83</v>
      </c>
      <c r="E8" s="7">
        <v>0.80825999999999998</v>
      </c>
      <c r="F8" s="7">
        <v>0.90454000000000001</v>
      </c>
      <c r="G8" s="10" t="s">
        <v>84</v>
      </c>
    </row>
  </sheetData>
  <conditionalFormatting sqref="C2:F6">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zoomScale="185" workbookViewId="0"/>
  </sheetViews>
  <sheetFormatPr defaultRowHeight="15" x14ac:dyDescent="0.25"/>
  <cols>
    <col min="1" max="1" width="26" customWidth="1"/>
    <col min="2" max="2" width="12" customWidth="1"/>
    <col min="3" max="6" width="10" customWidth="1"/>
    <col min="7" max="7" width="44" customWidth="1"/>
  </cols>
  <sheetData>
    <row r="1" spans="1:7" x14ac:dyDescent="0.25">
      <c r="A1" s="4" t="s">
        <v>64</v>
      </c>
      <c r="B1" s="4" t="s">
        <v>65</v>
      </c>
      <c r="C1" s="4" t="s">
        <v>85</v>
      </c>
      <c r="D1" s="4" t="s">
        <v>86</v>
      </c>
      <c r="E1" s="4" t="s">
        <v>87</v>
      </c>
      <c r="F1" s="4" t="s">
        <v>88</v>
      </c>
      <c r="G1" s="4" t="s">
        <v>70</v>
      </c>
    </row>
    <row r="2" spans="1:7" x14ac:dyDescent="0.25">
      <c r="A2" t="s">
        <v>71</v>
      </c>
      <c r="B2">
        <v>37</v>
      </c>
      <c r="C2">
        <v>35</v>
      </c>
      <c r="D2">
        <v>0</v>
      </c>
      <c r="E2">
        <v>2</v>
      </c>
      <c r="F2">
        <v>640</v>
      </c>
      <c r="G2" s="3" t="s">
        <v>89</v>
      </c>
    </row>
    <row r="3" spans="1:7" x14ac:dyDescent="0.25">
      <c r="A3" t="s">
        <v>73</v>
      </c>
      <c r="B3">
        <v>36</v>
      </c>
      <c r="C3">
        <v>2</v>
      </c>
      <c r="D3">
        <v>1</v>
      </c>
      <c r="E3">
        <v>34</v>
      </c>
      <c r="F3">
        <v>640</v>
      </c>
      <c r="G3" s="3" t="s">
        <v>90</v>
      </c>
    </row>
    <row r="4" spans="1:7" x14ac:dyDescent="0.25">
      <c r="A4" t="s">
        <v>75</v>
      </c>
      <c r="B4">
        <v>289</v>
      </c>
      <c r="C4">
        <v>289</v>
      </c>
      <c r="D4">
        <v>1</v>
      </c>
      <c r="E4">
        <v>0</v>
      </c>
      <c r="F4">
        <v>387</v>
      </c>
      <c r="G4" s="3" t="s">
        <v>91</v>
      </c>
    </row>
    <row r="5" spans="1:7" x14ac:dyDescent="0.25">
      <c r="A5" t="s">
        <v>77</v>
      </c>
      <c r="B5">
        <v>286</v>
      </c>
      <c r="C5">
        <v>286</v>
      </c>
      <c r="D5">
        <v>0</v>
      </c>
      <c r="E5">
        <v>0</v>
      </c>
      <c r="F5">
        <v>391</v>
      </c>
      <c r="G5" s="3" t="s">
        <v>92</v>
      </c>
    </row>
    <row r="6" spans="1:7" x14ac:dyDescent="0.25">
      <c r="A6" t="s">
        <v>79</v>
      </c>
      <c r="B6">
        <v>65</v>
      </c>
      <c r="C6">
        <v>61</v>
      </c>
      <c r="D6">
        <v>0</v>
      </c>
      <c r="E6">
        <v>4</v>
      </c>
      <c r="F6">
        <v>612</v>
      </c>
      <c r="G6" s="3" t="s">
        <v>93</v>
      </c>
    </row>
    <row r="8" spans="1:7" ht="75" customHeight="1" x14ac:dyDescent="0.25">
      <c r="A8" s="6" t="s">
        <v>94</v>
      </c>
      <c r="G8" s="3" t="s">
        <v>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1"/>
  <sheetViews>
    <sheetView workbookViewId="0">
      <selection activeCell="Q14" sqref="Q14"/>
    </sheetView>
  </sheetViews>
  <sheetFormatPr defaultRowHeight="15" x14ac:dyDescent="0.25"/>
  <cols>
    <col min="1" max="1" width="9" customWidth="1"/>
    <col min="2" max="2" width="12" customWidth="1"/>
    <col min="3" max="3" width="10" customWidth="1"/>
  </cols>
  <sheetData>
    <row r="1" spans="1:3" x14ac:dyDescent="0.25">
      <c r="A1" s="4" t="s">
        <v>96</v>
      </c>
      <c r="B1" s="4" t="s">
        <v>97</v>
      </c>
      <c r="C1" s="4" t="s">
        <v>98</v>
      </c>
    </row>
    <row r="2" spans="1:3" x14ac:dyDescent="0.25">
      <c r="A2">
        <v>1</v>
      </c>
      <c r="B2">
        <v>0.57042207037961046</v>
      </c>
      <c r="C2">
        <v>10.5</v>
      </c>
    </row>
    <row r="3" spans="1:3" x14ac:dyDescent="0.25">
      <c r="A3">
        <v>2</v>
      </c>
      <c r="B3">
        <v>0.39184394898238012</v>
      </c>
      <c r="C3">
        <v>9.5</v>
      </c>
    </row>
    <row r="4" spans="1:3" x14ac:dyDescent="0.25">
      <c r="A4">
        <v>3</v>
      </c>
      <c r="B4">
        <v>0.31171561320622759</v>
      </c>
      <c r="C4">
        <v>9.4</v>
      </c>
    </row>
    <row r="5" spans="1:3" x14ac:dyDescent="0.25">
      <c r="A5">
        <v>4</v>
      </c>
      <c r="B5">
        <v>0.26019527678136473</v>
      </c>
      <c r="C5">
        <v>9.9</v>
      </c>
    </row>
    <row r="6" spans="1:3" x14ac:dyDescent="0.25">
      <c r="A6">
        <v>5</v>
      </c>
      <c r="B6">
        <v>0.2246985978550381</v>
      </c>
      <c r="C6">
        <v>9.6</v>
      </c>
    </row>
    <row r="7" spans="1:3" x14ac:dyDescent="0.25">
      <c r="A7">
        <v>6</v>
      </c>
      <c r="B7">
        <v>0.20003145743299411</v>
      </c>
      <c r="C7">
        <v>9.6</v>
      </c>
    </row>
    <row r="8" spans="1:3" x14ac:dyDescent="0.25">
      <c r="A8">
        <v>7</v>
      </c>
      <c r="B8">
        <v>0.18138232887343131</v>
      </c>
      <c r="C8">
        <v>9.6999999999999993</v>
      </c>
    </row>
    <row r="9" spans="1:3" x14ac:dyDescent="0.25">
      <c r="A9">
        <v>8</v>
      </c>
      <c r="B9">
        <v>0.1657907712349185</v>
      </c>
      <c r="C9">
        <v>9.6</v>
      </c>
    </row>
    <row r="10" spans="1:3" x14ac:dyDescent="0.25">
      <c r="A10">
        <v>9</v>
      </c>
      <c r="B10">
        <v>0.1510765758929429</v>
      </c>
      <c r="C10">
        <v>9.9</v>
      </c>
    </row>
    <row r="11" spans="1:3" x14ac:dyDescent="0.25">
      <c r="A11">
        <v>10</v>
      </c>
      <c r="B11">
        <v>0.13829947117302149</v>
      </c>
      <c r="C11">
        <v>9.5</v>
      </c>
    </row>
    <row r="12" spans="1:3" x14ac:dyDescent="0.25">
      <c r="A12">
        <v>11</v>
      </c>
      <c r="B12">
        <v>0.13336002042999981</v>
      </c>
      <c r="C12">
        <v>9.6</v>
      </c>
    </row>
    <row r="13" spans="1:3" x14ac:dyDescent="0.25">
      <c r="A13">
        <v>12</v>
      </c>
      <c r="B13">
        <v>0.12089586757951309</v>
      </c>
      <c r="C13">
        <v>9.9</v>
      </c>
    </row>
    <row r="14" spans="1:3" x14ac:dyDescent="0.25">
      <c r="A14">
        <v>13</v>
      </c>
      <c r="B14">
        <v>0.11816297900897479</v>
      </c>
      <c r="C14">
        <v>9.8000000000000007</v>
      </c>
    </row>
    <row r="15" spans="1:3" x14ac:dyDescent="0.25">
      <c r="A15">
        <v>14</v>
      </c>
      <c r="B15">
        <v>0.10720866515680599</v>
      </c>
      <c r="C15">
        <v>9.6</v>
      </c>
    </row>
    <row r="16" spans="1:3" x14ac:dyDescent="0.25">
      <c r="A16">
        <v>15</v>
      </c>
      <c r="B16">
        <v>0.1041432730991531</v>
      </c>
      <c r="C16">
        <v>9.6</v>
      </c>
    </row>
    <row r="17" spans="1:3" x14ac:dyDescent="0.25">
      <c r="A17">
        <v>16</v>
      </c>
      <c r="B17">
        <v>9.8154315048897711E-2</v>
      </c>
      <c r="C17">
        <v>9.8000000000000007</v>
      </c>
    </row>
    <row r="18" spans="1:3" x14ac:dyDescent="0.25">
      <c r="A18">
        <v>17</v>
      </c>
      <c r="B18">
        <v>9.42255887830699E-2</v>
      </c>
      <c r="C18">
        <v>9.6999999999999993</v>
      </c>
    </row>
    <row r="19" spans="1:3" x14ac:dyDescent="0.25">
      <c r="A19">
        <v>18</v>
      </c>
      <c r="B19">
        <v>9.1583480743898285E-2</v>
      </c>
      <c r="C19">
        <v>9.8000000000000007</v>
      </c>
    </row>
    <row r="20" spans="1:3" x14ac:dyDescent="0.25">
      <c r="A20">
        <v>19</v>
      </c>
      <c r="B20">
        <v>8.5871244017724641E-2</v>
      </c>
      <c r="C20">
        <v>10.1</v>
      </c>
    </row>
    <row r="21" spans="1:3" x14ac:dyDescent="0.25">
      <c r="A21">
        <v>20</v>
      </c>
      <c r="B21">
        <v>8.6225408621960223E-2</v>
      </c>
      <c r="C21">
        <v>9.8000000000000007</v>
      </c>
    </row>
    <row r="22" spans="1:3" x14ac:dyDescent="0.25">
      <c r="A22">
        <v>21</v>
      </c>
      <c r="B22">
        <v>8.0418021256724995E-2</v>
      </c>
      <c r="C22">
        <v>9.6</v>
      </c>
    </row>
    <row r="23" spans="1:3" x14ac:dyDescent="0.25">
      <c r="A23">
        <v>22</v>
      </c>
      <c r="B23">
        <v>7.9404113027784565E-2</v>
      </c>
      <c r="C23">
        <v>9.6</v>
      </c>
    </row>
    <row r="24" spans="1:3" x14ac:dyDescent="0.25">
      <c r="A24">
        <v>23</v>
      </c>
      <c r="B24">
        <v>7.563157047386522E-2</v>
      </c>
      <c r="C24">
        <v>9.6</v>
      </c>
    </row>
    <row r="25" spans="1:3" x14ac:dyDescent="0.25">
      <c r="A25">
        <v>24</v>
      </c>
      <c r="B25">
        <v>7.2861659234320669E-2</v>
      </c>
      <c r="C25">
        <v>9.5</v>
      </c>
    </row>
    <row r="26" spans="1:3" x14ac:dyDescent="0.25">
      <c r="A26">
        <v>25</v>
      </c>
      <c r="B26">
        <v>6.8782629679750518E-2</v>
      </c>
      <c r="C26">
        <v>9.6999999999999993</v>
      </c>
    </row>
    <row r="27" spans="1:3" x14ac:dyDescent="0.25">
      <c r="A27">
        <v>26</v>
      </c>
      <c r="B27">
        <v>6.6990945201229168E-2</v>
      </c>
      <c r="C27">
        <v>9.9</v>
      </c>
    </row>
    <row r="28" spans="1:3" x14ac:dyDescent="0.25">
      <c r="A28">
        <v>27</v>
      </c>
      <c r="B28">
        <v>6.6015213827292127E-2</v>
      </c>
      <c r="C28">
        <v>9.6</v>
      </c>
    </row>
    <row r="29" spans="1:3" x14ac:dyDescent="0.25">
      <c r="A29">
        <v>28</v>
      </c>
      <c r="B29">
        <v>6.3831519859808464E-2</v>
      </c>
      <c r="C29">
        <v>10.1</v>
      </c>
    </row>
    <row r="30" spans="1:3" x14ac:dyDescent="0.25">
      <c r="A30">
        <v>29</v>
      </c>
      <c r="B30">
        <v>6.0615328290948157E-2</v>
      </c>
      <c r="C30">
        <v>9.5</v>
      </c>
    </row>
    <row r="31" spans="1:3" x14ac:dyDescent="0.25">
      <c r="A31">
        <v>30</v>
      </c>
      <c r="B31">
        <v>6.0751371709284963E-2</v>
      </c>
      <c r="C31">
        <v>10.199999999999999</v>
      </c>
    </row>
    <row r="32" spans="1:3" x14ac:dyDescent="0.25">
      <c r="A32">
        <v>31</v>
      </c>
      <c r="B32">
        <v>5.7697150798307527E-2</v>
      </c>
      <c r="C32">
        <v>9.4</v>
      </c>
    </row>
    <row r="33" spans="1:3" x14ac:dyDescent="0.25">
      <c r="A33">
        <v>32</v>
      </c>
      <c r="B33">
        <v>5.8163428403161188E-2</v>
      </c>
      <c r="C33">
        <v>9.5</v>
      </c>
    </row>
    <row r="34" spans="1:3" x14ac:dyDescent="0.25">
      <c r="A34">
        <v>33</v>
      </c>
      <c r="B34">
        <v>5.5704527417266808E-2</v>
      </c>
      <c r="C34">
        <v>9.5</v>
      </c>
    </row>
    <row r="35" spans="1:3" x14ac:dyDescent="0.25">
      <c r="A35">
        <v>34</v>
      </c>
      <c r="B35">
        <v>5.1588782027915669E-2</v>
      </c>
      <c r="C35">
        <v>9.6999999999999993</v>
      </c>
    </row>
    <row r="36" spans="1:3" x14ac:dyDescent="0.25">
      <c r="A36">
        <v>35</v>
      </c>
      <c r="B36">
        <v>5.1632547199174213E-2</v>
      </c>
      <c r="C36">
        <v>9.6</v>
      </c>
    </row>
    <row r="37" spans="1:3" x14ac:dyDescent="0.25">
      <c r="A37">
        <v>36</v>
      </c>
      <c r="B37">
        <v>4.8169485405087469E-2</v>
      </c>
      <c r="C37">
        <v>9.6999999999999993</v>
      </c>
    </row>
    <row r="38" spans="1:3" x14ac:dyDescent="0.25">
      <c r="A38">
        <v>37</v>
      </c>
      <c r="B38">
        <v>4.9410985697198803E-2</v>
      </c>
      <c r="C38">
        <v>9.9</v>
      </c>
    </row>
    <row r="39" spans="1:3" x14ac:dyDescent="0.25">
      <c r="A39">
        <v>38</v>
      </c>
      <c r="B39">
        <v>4.6594466288332588E-2</v>
      </c>
      <c r="C39">
        <v>10</v>
      </c>
    </row>
    <row r="40" spans="1:3" x14ac:dyDescent="0.25">
      <c r="A40">
        <v>39</v>
      </c>
      <c r="B40">
        <v>4.879098899386547E-2</v>
      </c>
      <c r="C40">
        <v>9.6999999999999993</v>
      </c>
    </row>
    <row r="41" spans="1:3" x14ac:dyDescent="0.25">
      <c r="A41">
        <v>40</v>
      </c>
      <c r="B41">
        <v>4.5797745299835997E-2</v>
      </c>
      <c r="C41">
        <v>9.9</v>
      </c>
    </row>
    <row r="42" spans="1:3" x14ac:dyDescent="0.25">
      <c r="A42">
        <v>41</v>
      </c>
      <c r="B42">
        <v>4.4363789337652698E-2</v>
      </c>
      <c r="C42">
        <v>9.8000000000000007</v>
      </c>
    </row>
    <row r="43" spans="1:3" x14ac:dyDescent="0.25">
      <c r="A43">
        <v>42</v>
      </c>
      <c r="B43">
        <v>4.3506319240011547E-2</v>
      </c>
      <c r="C43">
        <v>9.6</v>
      </c>
    </row>
    <row r="44" spans="1:3" x14ac:dyDescent="0.25">
      <c r="A44">
        <v>43</v>
      </c>
      <c r="B44">
        <v>4.0515484143462448E-2</v>
      </c>
      <c r="C44">
        <v>9.6</v>
      </c>
    </row>
    <row r="45" spans="1:3" x14ac:dyDescent="0.25">
      <c r="A45">
        <v>44</v>
      </c>
      <c r="B45">
        <v>4.1461468792899893E-2</v>
      </c>
      <c r="C45">
        <v>9.9</v>
      </c>
    </row>
    <row r="46" spans="1:3" x14ac:dyDescent="0.25">
      <c r="A46">
        <v>45</v>
      </c>
      <c r="B46">
        <v>3.7765598098436992E-2</v>
      </c>
      <c r="C46">
        <v>9.8000000000000007</v>
      </c>
    </row>
    <row r="47" spans="1:3" x14ac:dyDescent="0.25">
      <c r="A47">
        <v>46</v>
      </c>
      <c r="B47">
        <v>3.7531379821399848E-2</v>
      </c>
      <c r="C47">
        <v>9.6</v>
      </c>
    </row>
    <row r="48" spans="1:3" x14ac:dyDescent="0.25">
      <c r="A48">
        <v>47</v>
      </c>
      <c r="B48">
        <v>3.7405407162452192E-2</v>
      </c>
      <c r="C48">
        <v>9.6</v>
      </c>
    </row>
    <row r="49" spans="1:3" x14ac:dyDescent="0.25">
      <c r="A49">
        <v>48</v>
      </c>
      <c r="B49">
        <v>3.5136109571214068E-2</v>
      </c>
      <c r="C49">
        <v>9.6</v>
      </c>
    </row>
    <row r="50" spans="1:3" x14ac:dyDescent="0.25">
      <c r="A50">
        <v>49</v>
      </c>
      <c r="B50">
        <v>3.6260175851208193E-2</v>
      </c>
      <c r="C50">
        <v>9.6</v>
      </c>
    </row>
    <row r="51" spans="1:3" x14ac:dyDescent="0.25">
      <c r="A51">
        <v>50</v>
      </c>
      <c r="B51">
        <v>3.7402831339449792E-2</v>
      </c>
      <c r="C51">
        <v>9.8000000000000007</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tabSelected="1" topLeftCell="A7" zoomScale="160" workbookViewId="0">
      <selection activeCell="E8" sqref="E8"/>
    </sheetView>
  </sheetViews>
  <sheetFormatPr defaultRowHeight="15" x14ac:dyDescent="0.25"/>
  <cols>
    <col min="1" max="1" width="36.85546875" customWidth="1"/>
    <col min="2" max="2" width="95" customWidth="1"/>
  </cols>
  <sheetData>
    <row r="1" spans="1:2" x14ac:dyDescent="0.25">
      <c r="A1" s="4" t="s">
        <v>32</v>
      </c>
      <c r="B1" s="4" t="s">
        <v>99</v>
      </c>
    </row>
    <row r="2" spans="1:2" ht="75" customHeight="1" x14ac:dyDescent="0.25">
      <c r="A2" s="6" t="s">
        <v>100</v>
      </c>
      <c r="B2" s="3" t="s">
        <v>101</v>
      </c>
    </row>
    <row r="3" spans="1:2" ht="30" customHeight="1" x14ac:dyDescent="0.25">
      <c r="A3" s="6" t="s">
        <v>66</v>
      </c>
      <c r="B3" s="3" t="s">
        <v>102</v>
      </c>
    </row>
    <row r="4" spans="1:2" ht="30" customHeight="1" x14ac:dyDescent="0.25">
      <c r="A4" s="6" t="s">
        <v>67</v>
      </c>
      <c r="B4" s="3" t="s">
        <v>103</v>
      </c>
    </row>
    <row r="5" spans="1:2" ht="30" customHeight="1" x14ac:dyDescent="0.25">
      <c r="A5" s="6" t="s">
        <v>68</v>
      </c>
      <c r="B5" s="3" t="s">
        <v>104</v>
      </c>
    </row>
    <row r="6" spans="1:2" ht="45" customHeight="1" x14ac:dyDescent="0.25">
      <c r="A6" s="6" t="s">
        <v>105</v>
      </c>
      <c r="B6" s="3" t="s">
        <v>106</v>
      </c>
    </row>
    <row r="7" spans="1:2" ht="60" customHeight="1" x14ac:dyDescent="0.25">
      <c r="A7" s="6" t="s">
        <v>107</v>
      </c>
      <c r="B7" s="3" t="s">
        <v>108</v>
      </c>
    </row>
    <row r="8" spans="1:2" ht="30" customHeight="1" x14ac:dyDescent="0.25">
      <c r="A8" s="6" t="s">
        <v>41</v>
      </c>
      <c r="B8" s="3" t="s">
        <v>109</v>
      </c>
    </row>
    <row r="9" spans="1:2" ht="45" customHeight="1" x14ac:dyDescent="0.25">
      <c r="A9" s="6" t="s">
        <v>43</v>
      </c>
      <c r="B9" s="3" t="s">
        <v>110</v>
      </c>
    </row>
    <row r="10" spans="1:2" ht="30" customHeight="1" x14ac:dyDescent="0.25">
      <c r="A10" s="6" t="s">
        <v>111</v>
      </c>
      <c r="B10" s="3" t="s">
        <v>112</v>
      </c>
    </row>
    <row r="11" spans="1:2" ht="45" customHeight="1" x14ac:dyDescent="0.25">
      <c r="A11" s="6" t="s">
        <v>113</v>
      </c>
      <c r="B11" s="3" t="s">
        <v>114</v>
      </c>
    </row>
    <row r="12" spans="1:2" ht="30" customHeight="1" x14ac:dyDescent="0.25">
      <c r="A12" s="6" t="s">
        <v>115</v>
      </c>
      <c r="B12" s="3" t="s">
        <v>116</v>
      </c>
    </row>
    <row r="13" spans="1:2" ht="45" customHeight="1" x14ac:dyDescent="0.25">
      <c r="A13" s="6" t="s">
        <v>117</v>
      </c>
      <c r="B13"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Run Summary</vt:lpstr>
      <vt:lpstr>Per-Class Metrics</vt:lpstr>
      <vt:lpstr>Confusion per class</vt:lpstr>
      <vt:lpstr>Epoch History</vt:lpstr>
      <vt:lpstr>Metric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Pranay Chowdary Pudota</cp:lastModifiedBy>
  <dcterms:created xsi:type="dcterms:W3CDTF">2026-09-28T04:12:11Z</dcterms:created>
  <dcterms:modified xsi:type="dcterms:W3CDTF">2026-09-28T10:54:19Z</dcterms:modified>
</cp:coreProperties>
</file>