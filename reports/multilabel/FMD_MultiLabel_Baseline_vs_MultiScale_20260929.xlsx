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 class" sheetId="2" state="visible" r:id="rId2"/>
    <sheet xmlns:r="http://schemas.openxmlformats.org/officeDocument/2006/relationships" name="Folded Lens" sheetId="3" state="visible" r:id="rId3"/>
    <sheet xmlns:r="http://schemas.openxmlformats.org/officeDocument/2006/relationships" name="Timing" sheetId="4" state="visible" r:id="rId4"/>
    <sheet xmlns:r="http://schemas.openxmlformats.org/officeDocument/2006/relationships" name="Figure data" sheetId="5" state="visible" r:id="rId5"/>
    <sheet xmlns:r="http://schemas.openxmlformats.org/officeDocument/2006/relationships" name="Figures" sheetId="6" state="visible" r:id="rId6"/>
    <sheet xmlns:r="http://schemas.openxmlformats.org/officeDocument/2006/relationships" name="Method and evidence"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5"/>
    </font>
    <font>
      <color rgb="00FFFFFF"/>
      <sz val="10"/>
    </font>
    <font>
      <b val="1"/>
      <color rgb="009C0006"/>
      <sz val="12"/>
    </font>
    <font>
      <color rgb="00404040"/>
      <sz val="9"/>
    </font>
    <font>
      <b val="1"/>
      <color rgb="00FFFFFF"/>
    </font>
    <font>
      <b val="1"/>
      <color rgb="001F3864"/>
      <sz val="11"/>
    </font>
    <font>
      <b val="1"/>
    </font>
    <font>
      <i val="1"/>
      <color rgb="00595959"/>
      <sz val="9"/>
    </font>
    <font>
      <b val="1"/>
      <color rgb="00FFFFFF"/>
      <sz val="12"/>
    </font>
  </fonts>
  <fills count="8">
    <fill>
      <patternFill/>
    </fill>
    <fill>
      <patternFill patternType="gray125"/>
    </fill>
    <fill>
      <patternFill patternType="solid">
        <fgColor rgb="001F3864"/>
      </patternFill>
    </fill>
    <fill>
      <patternFill patternType="solid">
        <fgColor rgb="002E5C8A"/>
      </patternFill>
    </fill>
    <fill>
      <patternFill patternType="solid">
        <fgColor rgb="00FCE4E4"/>
      </patternFill>
    </fill>
    <fill>
      <patternFill patternType="solid">
        <fgColor rgb="00EEF3FA"/>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wrapText="1" indent="1"/>
    </xf>
    <xf numFmtId="0" fontId="2" fillId="3" borderId="0" applyAlignment="1" pivotButton="0" quotePrefix="0" xfId="0">
      <alignment horizontal="left" vertical="center" wrapText="1" indent="1"/>
    </xf>
    <xf numFmtId="0" fontId="3" fillId="4" borderId="0" applyAlignment="1" pivotButton="0" quotePrefix="0" xfId="0">
      <alignment horizontal="left" vertical="center" wrapText="1" indent="1"/>
    </xf>
    <xf numFmtId="0" fontId="4" fillId="0" borderId="0" applyAlignment="1" pivotButton="0" quotePrefix="0" xfId="0">
      <alignment horizontal="left" vertical="center" wrapText="1" indent="1"/>
    </xf>
    <xf numFmtId="0" fontId="5" fillId="3" borderId="1" applyAlignment="1" pivotButton="0" quotePrefix="0" xfId="0">
      <alignment horizontal="center" vertical="center" wrapText="1"/>
    </xf>
    <xf numFmtId="0" fontId="6" fillId="5" borderId="0" applyAlignment="1" pivotButton="0" quotePrefix="0" xfId="0">
      <alignment horizontal="left" vertical="center" wrapText="1" indent="1"/>
    </xf>
    <xf numFmtId="0" fontId="7"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7" fillId="4"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8" fillId="0" borderId="0" applyAlignment="1" pivotButton="0" quotePrefix="0" xfId="0">
      <alignment horizontal="left" vertical="center" wrapText="1" indent="1"/>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5" borderId="1" applyAlignment="1" pivotButton="0" quotePrefix="0" xfId="0">
      <alignment horizontal="center" vertical="center"/>
    </xf>
    <xf numFmtId="0" fontId="7" fillId="7" borderId="1" applyAlignment="1" pivotButton="0" quotePrefix="0" xfId="0">
      <alignment horizontal="left" vertical="center" wrapText="1"/>
    </xf>
    <xf numFmtId="0" fontId="0" fillId="7" borderId="1" applyAlignment="1" pivotButton="0" quotePrefix="0" xfId="0">
      <alignment horizontal="left" vertical="center" wrapText="1"/>
    </xf>
    <xf numFmtId="164" fontId="0" fillId="0" borderId="1" applyAlignment="1" pivotButton="0" quotePrefix="0" xfId="0">
      <alignment horizontal="left" vertical="center" wrapText="1"/>
    </xf>
    <xf numFmtId="0" fontId="9" fillId="3"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F1 by class: baseline against MultiScale</a:t>
            </a:r>
          </a:p>
        </rich>
      </tx>
    </title>
    <plotArea>
      <barChart>
        <barDir val="bar"/>
        <grouping val="clustered"/>
        <ser>
          <idx val="0"/>
          <order val="0"/>
          <tx>
            <strRef>
              <f>'Figure data'!C1</f>
            </strRef>
          </tx>
          <spPr>
            <a:ln xmlns:a="http://schemas.openxmlformats.org/drawingml/2006/main">
              <a:prstDash val="solid"/>
            </a:ln>
          </spPr>
          <cat>
            <numRef>
              <f>'Figure data'!$A$2:$A$6</f>
            </numRef>
          </cat>
          <val>
            <numRef>
              <f>'Figure data'!$C$2:$C$6</f>
            </numRef>
          </val>
        </ser>
        <ser>
          <idx val="1"/>
          <order val="1"/>
          <tx>
            <strRef>
              <f>'Figure data'!D1</f>
            </strRef>
          </tx>
          <spPr>
            <a:ln xmlns:a="http://schemas.openxmlformats.org/drawingml/2006/main">
              <a:prstDash val="solid"/>
            </a:ln>
          </spPr>
          <cat>
            <numRef>
              <f>'Figure data'!$A$2:$A$6</f>
            </numRef>
          </cat>
          <val>
            <numRef>
              <f>'Figure data'!$D$2:$D$6</f>
            </numRef>
          </val>
        </ser>
        <dLbls>
          <numFmt formatCode="0.00"/>
          <showVal val="1"/>
        </dLbls>
        <gapWidth val="60"/>
        <overlap val="-10"/>
        <axId val="10"/>
        <axId val="100"/>
      </barChart>
      <catAx>
        <axId val="10"/>
        <scaling>
          <orientation val="minMax"/>
        </scaling>
        <axPos val="l"/>
        <majorTickMark val="none"/>
        <minorTickMark val="none"/>
        <crossAx val="100"/>
        <lblOffset val="100"/>
      </catAx>
      <valAx>
        <axId val="100"/>
        <scaling>
          <orientation val="minMax"/>
          <max val="1.15"/>
        </scaling>
        <axPos val="l"/>
        <majorGridlines/>
        <title>
          <tx>
            <rich>
              <a:bodyPr xmlns:a="http://schemas.openxmlformats.org/drawingml/2006/main"/>
              <a:p xmlns:a="http://schemas.openxmlformats.org/drawingml/2006/main">
                <a:pPr>
                  <a:defRPr/>
                </a:pPr>
                <a:r>
                  <a:t>F1</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Folded Lens images found as the threshold is lowered, of 36</a:t>
            </a:r>
          </a:p>
        </rich>
      </tx>
    </title>
    <plotArea>
      <barChart>
        <barDir val="col"/>
        <grouping val="clustered"/>
        <ser>
          <idx val="0"/>
          <order val="0"/>
          <tx>
            <strRef>
              <f>'Figure data'!B8</f>
            </strRef>
          </tx>
          <spPr>
            <a:ln xmlns:a="http://schemas.openxmlformats.org/drawingml/2006/main">
              <a:prstDash val="solid"/>
            </a:ln>
          </spPr>
          <cat>
            <numRef>
              <f>'Figure data'!$A$9:$A$12</f>
            </numRef>
          </cat>
          <val>
            <numRef>
              <f>'Figure data'!$B$9:$B$12</f>
            </numRef>
          </val>
        </ser>
        <ser>
          <idx val="1"/>
          <order val="1"/>
          <tx>
            <strRef>
              <f>'Figure data'!C8</f>
            </strRef>
          </tx>
          <spPr>
            <a:ln xmlns:a="http://schemas.openxmlformats.org/drawingml/2006/main">
              <a:prstDash val="solid"/>
            </a:ln>
          </spPr>
          <cat>
            <numRef>
              <f>'Figure data'!$A$9:$A$12</f>
            </numRef>
          </cat>
          <val>
            <numRef>
              <f>'Figure data'!$C$9:$C$12</f>
            </numRef>
          </val>
        </ser>
        <ser>
          <idx val="2"/>
          <order val="2"/>
          <tx>
            <strRef>
              <f>'Figure data'!D8</f>
            </strRef>
          </tx>
          <spPr>
            <a:ln xmlns:a="http://schemas.openxmlformats.org/drawingml/2006/main">
              <a:prstDash val="solid"/>
            </a:ln>
          </spPr>
          <cat>
            <numRef>
              <f>'Figure data'!$A$9:$A$12</f>
            </numRef>
          </cat>
          <val>
            <numRef>
              <f>'Figure data'!$D$9:$D$12</f>
            </numRef>
          </val>
        </ser>
        <dLbls>
          <showVal val="1"/>
        </dLbls>
        <gapWidth val="70"/>
        <overlap val="-10"/>
        <axId val="10"/>
        <axId val="100"/>
      </barChart>
      <catAx>
        <axId val="10"/>
        <scaling>
          <orientation val="minMax"/>
        </scaling>
        <axPos val="l"/>
        <majorTickMark val="none"/>
        <minorTickMark val="none"/>
        <crossAx val="100"/>
        <lblOffset val="100"/>
      </catAx>
      <valAx>
        <axId val="100"/>
        <scaling>
          <orientation val="minMax"/>
          <max val="14"/>
        </scaling>
        <axPos val="l"/>
        <majorGridlines/>
        <title>
          <tx>
            <rich>
              <a:bodyPr xmlns:a="http://schemas.openxmlformats.org/drawingml/2006/main"/>
              <a:p xmlns:a="http://schemas.openxmlformats.org/drawingml/2006/main">
                <a:pPr>
                  <a:defRPr/>
                </a:pPr>
                <a:r>
                  <a:t>images found, of 36</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25</row>
      <rowOff>0</rowOff>
    </from>
    <ext cx="93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sheetPr>
  <dimension ref="A1:E37"/>
  <sheetViews>
    <sheetView showGridLines="0" workbookViewId="0">
      <pane ySplit="9" topLeftCell="A10" activePane="bottomLeft" state="frozen"/>
      <selection pane="bottomLeft" activeCell="A1" sqref="A1"/>
    </sheetView>
  </sheetViews>
  <sheetFormatPr baseColWidth="8" defaultRowHeight="15"/>
  <cols>
    <col width="47" customWidth="1" min="1" max="1"/>
    <col width="29" customWidth="1" min="2" max="2"/>
    <col width="29" customWidth="1" min="3" max="3"/>
    <col width="29" customWidth="1" min="4" max="4"/>
    <col width="19" customWidth="1" min="5" max="5"/>
  </cols>
  <sheetData>
    <row r="1" ht="28" customHeight="1">
      <c r="A1" s="1" t="inlineStr">
        <is>
          <t>Multi-label lens presentation: baseline against MultiScale</t>
        </is>
      </c>
    </row>
    <row r="2" ht="20" customHeight="1">
      <c r="A2" s="2" t="inlineStr">
        <is>
          <t>Test set 677 images, decision threshold 0.5, macro AUPRC is the metric of record</t>
        </is>
      </c>
    </row>
    <row r="3"/>
    <row r="4" ht="44" customHeight="1">
      <c r="A4" s="3" t="inlineStr">
        <is>
          <t>Answer: MultiScale does not increase Folded Lens recall. The baseline finds 2 of the 36 Folded Lens images and MultiScale finds none, and MultiScale moves the Folded Lens scores further down rather than up.</t>
        </is>
      </c>
    </row>
    <row r="5"/>
    <row r="6" ht="30.4" customHeight="1">
      <c r="A6" s="4" t="inlineStr">
        <is>
          <t>Both models: the same 3,377 lens presentation images, the same frozen 80/20 split (2,700 train, 677 test), the same recipe, the same seed, run one after the other on one GPU. The only difference between the columns is the architecture.</t>
        </is>
      </c>
    </row>
    <row r="7" ht="30.4" customHeight="1">
      <c r="A7" s="4" t="inlineStr">
        <is>
          <t>Why there are two baseline columns: the baseline was run twice. The 28 September run is the one already reported, and it never recorded timing, so it was repeated inside the MultiScale session. Folded Lens sits at the floor in both baseline columns, so the answer does not depend on which one is read.</t>
        </is>
      </c>
    </row>
    <row r="8"/>
    <row r="9" ht="30.4" customHeight="1">
      <c r="A9" s="5" t="inlineStr">
        <is>
          <t>Metric</t>
        </is>
      </c>
      <c r="B9" s="5" t="inlineStr">
        <is>
          <t>Baseline: ResNet50, 28 September</t>
        </is>
      </c>
      <c r="C9" s="5" t="inlineStr">
        <is>
          <t>Baseline repeat: ResNet50, 29 September</t>
        </is>
      </c>
      <c r="D9" s="5" t="inlineStr">
        <is>
          <t>MultiScale: notebook architecture 1, 29 September</t>
        </is>
      </c>
      <c r="E9" s="5" t="inlineStr">
        <is>
          <t>MultiScale against baseline</t>
        </is>
      </c>
    </row>
    <row r="10" ht="18" customHeight="1">
      <c r="A10" s="6" t="inlineStr">
        <is>
          <t>Overall</t>
        </is>
      </c>
    </row>
    <row r="11">
      <c r="A11" s="7" t="inlineStr">
        <is>
          <t>Parameters</t>
        </is>
      </c>
      <c r="B11" s="8" t="inlineStr">
        <is>
          <t>23,518,277</t>
        </is>
      </c>
      <c r="C11" s="8" t="inlineStr">
        <is>
          <t>23,518,277</t>
        </is>
      </c>
      <c r="D11" s="8" t="inlineStr">
        <is>
          <t>58,438,725</t>
        </is>
      </c>
      <c r="E11" s="9" t="inlineStr">
        <is>
          <t>2.5 times more</t>
        </is>
      </c>
    </row>
    <row r="12">
      <c r="A12" s="7" t="inlineStr">
        <is>
          <t>Macro AUPRC (metric of record)</t>
        </is>
      </c>
      <c r="B12" s="8" t="inlineStr">
        <is>
          <t>0.90454</t>
        </is>
      </c>
      <c r="C12" s="8" t="inlineStr">
        <is>
          <t>0.91569</t>
        </is>
      </c>
      <c r="D12" s="8" t="inlineStr">
        <is>
          <t>0.86241</t>
        </is>
      </c>
      <c r="E12" s="9" t="inlineStr">
        <is>
          <t>-0.04213</t>
        </is>
      </c>
    </row>
    <row r="13">
      <c r="A13" s="9" t="inlineStr">
        <is>
          <t>Macro F1</t>
        </is>
      </c>
      <c r="B13" s="8" t="inlineStr">
        <is>
          <t>0.80826</t>
        </is>
      </c>
      <c r="C13" s="8" t="inlineStr">
        <is>
          <t>0.77118</t>
        </is>
      </c>
      <c r="D13" s="8" t="inlineStr">
        <is>
          <t>0.77434</t>
        </is>
      </c>
      <c r="E13" s="9" t="inlineStr">
        <is>
          <t>-0.03392</t>
        </is>
      </c>
    </row>
    <row r="14">
      <c r="A14" s="9" t="inlineStr">
        <is>
          <t>Micro precision</t>
        </is>
      </c>
      <c r="B14" s="8" t="inlineStr">
        <is>
          <t>0.99704</t>
        </is>
      </c>
      <c r="C14" s="8" t="inlineStr">
        <is>
          <t>0.99849</t>
        </is>
      </c>
      <c r="D14" s="8" t="inlineStr">
        <is>
          <t>0.99849</t>
        </is>
      </c>
      <c r="E14" s="9" t="inlineStr">
        <is>
          <t>+0.00145</t>
        </is>
      </c>
    </row>
    <row r="15">
      <c r="A15" s="9" t="inlineStr">
        <is>
          <t>Micro recall</t>
        </is>
      </c>
      <c r="B15" s="8" t="inlineStr">
        <is>
          <t>0.94390</t>
        </is>
      </c>
      <c r="C15" s="8" t="inlineStr">
        <is>
          <t>0.92567</t>
        </is>
      </c>
      <c r="D15" s="8" t="inlineStr">
        <is>
          <t>0.92847</t>
        </is>
      </c>
      <c r="E15" s="9" t="inlineStr">
        <is>
          <t>-0.01543</t>
        </is>
      </c>
    </row>
    <row r="16">
      <c r="A16" s="9" t="inlineStr">
        <is>
          <t>Hamming loss, label cells wrong per image</t>
        </is>
      </c>
      <c r="B16" s="8" t="inlineStr">
        <is>
          <t>0.01241</t>
        </is>
      </c>
      <c r="C16" s="8" t="inlineStr">
        <is>
          <t>0.01595</t>
        </is>
      </c>
      <c r="D16" s="8" t="inlineStr">
        <is>
          <t>0.01536</t>
        </is>
      </c>
      <c r="E16" s="9" t="inlineStr">
        <is>
          <t>+0.00295</t>
        </is>
      </c>
    </row>
    <row r="17">
      <c r="A17" s="9" t="inlineStr">
        <is>
          <t>Exact match, images fully correct</t>
        </is>
      </c>
      <c r="B17" s="8" t="inlineStr">
        <is>
          <t>0.93944</t>
        </is>
      </c>
      <c r="C17" s="8" t="inlineStr">
        <is>
          <t>0.92171</t>
        </is>
      </c>
      <c r="D17" s="8" t="inlineStr">
        <is>
          <t>0.92467</t>
        </is>
      </c>
      <c r="E17" s="9" t="inlineStr">
        <is>
          <t>-0.01477</t>
        </is>
      </c>
    </row>
    <row r="18" ht="18" customHeight="1">
      <c r="A18" s="6" t="inlineStr">
        <is>
          <t>Folded Lens, the class the question is about</t>
        </is>
      </c>
    </row>
    <row r="19">
      <c r="A19" s="10" t="inlineStr">
        <is>
          <t>Recall at 0.5</t>
        </is>
      </c>
      <c r="B19" s="11" t="inlineStr">
        <is>
          <t>0.056</t>
        </is>
      </c>
      <c r="C19" s="11" t="inlineStr">
        <is>
          <t>0.000</t>
        </is>
      </c>
      <c r="D19" s="11" t="inlineStr">
        <is>
          <t>0.000</t>
        </is>
      </c>
      <c r="E19" s="12" t="inlineStr">
        <is>
          <t>-0.056</t>
        </is>
      </c>
    </row>
    <row r="20" ht="43.59999999999999" customHeight="1">
      <c r="A20" s="12" t="inlineStr">
        <is>
          <t>Images found, of 36</t>
        </is>
      </c>
      <c r="B20" s="11" t="inlineStr">
        <is>
          <t>2</t>
        </is>
      </c>
      <c r="C20" s="11" t="inlineStr">
        <is>
          <t>0</t>
        </is>
      </c>
      <c r="D20" s="11" t="inlineStr">
        <is>
          <t>0</t>
        </is>
      </c>
      <c r="E20" s="12" t="inlineStr">
        <is>
          <t>out of the 36 test images that carry the class</t>
        </is>
      </c>
    </row>
    <row r="21" ht="56.8" customHeight="1">
      <c r="A21" s="9" t="inlineStr">
        <is>
          <t>Fired wrongly, false alarms</t>
        </is>
      </c>
      <c r="B21" s="8" t="inlineStr">
        <is>
          <t>1</t>
        </is>
      </c>
      <c r="C21" s="8" t="inlineStr">
        <is>
          <t>0</t>
        </is>
      </c>
      <c r="D21" s="8" t="inlineStr">
        <is>
          <t>0</t>
        </is>
      </c>
      <c r="E21" s="9" t="inlineStr">
        <is>
          <t>the baseline raised one, neither later run raised any</t>
        </is>
      </c>
    </row>
    <row r="22" ht="43.59999999999999" customHeight="1">
      <c r="A22" s="9" t="inlineStr">
        <is>
          <t>Precision at 0.5</t>
        </is>
      </c>
      <c r="B22" s="8" t="inlineStr">
        <is>
          <t>0.667</t>
        </is>
      </c>
      <c r="C22" s="8" t="inlineStr">
        <is>
          <t>0.000</t>
        </is>
      </c>
      <c r="D22" s="8" t="inlineStr">
        <is>
          <t>0.000</t>
        </is>
      </c>
      <c r="E22" s="9" t="inlineStr">
        <is>
          <t>2 of the 3 images the baseline flagged were right</t>
        </is>
      </c>
    </row>
    <row r="23">
      <c r="A23" s="9" t="inlineStr">
        <is>
          <t>F1 at 0.5</t>
        </is>
      </c>
      <c r="B23" s="8" t="inlineStr">
        <is>
          <t>0.103</t>
        </is>
      </c>
      <c r="C23" s="8" t="inlineStr">
        <is>
          <t>0.000</t>
        </is>
      </c>
      <c r="D23" s="8" t="inlineStr">
        <is>
          <t>0.000</t>
        </is>
      </c>
      <c r="E23" s="9" t="inlineStr">
        <is>
          <t>-0.103</t>
        </is>
      </c>
    </row>
    <row r="24">
      <c r="A24" s="7" t="inlineStr">
        <is>
          <t>AUPRC, threshold free</t>
        </is>
      </c>
      <c r="B24" s="8" t="inlineStr">
        <is>
          <t>0.52271</t>
        </is>
      </c>
      <c r="C24" s="8" t="inlineStr">
        <is>
          <t>0.58229</t>
        </is>
      </c>
      <c r="D24" s="8" t="inlineStr">
        <is>
          <t>0.49647</t>
        </is>
      </c>
      <c r="E24" s="9" t="inlineStr">
        <is>
          <t>-0.02624</t>
        </is>
      </c>
    </row>
    <row r="25" ht="30.4" customHeight="1">
      <c r="A25" s="9" t="inlineStr">
        <is>
          <t>AUPRC if the ranking were random</t>
        </is>
      </c>
      <c r="B25" s="8" t="inlineStr">
        <is>
          <t>0.0532</t>
        </is>
      </c>
      <c r="C25" s="8" t="inlineStr">
        <is>
          <t>0.0532</t>
        </is>
      </c>
      <c r="D25" s="8" t="inlineStr">
        <is>
          <t>0.0532</t>
        </is>
      </c>
      <c r="E25" s="9" t="inlineStr">
        <is>
          <t>the ranking does hold signal</t>
        </is>
      </c>
    </row>
    <row r="26" ht="43.59999999999999" customHeight="1">
      <c r="A26" s="9" t="inlineStr">
        <is>
          <t>Best score on any of the 36 images</t>
        </is>
      </c>
      <c r="B26" s="8" t="inlineStr">
        <is>
          <t>0.698</t>
        </is>
      </c>
      <c r="C26" s="8" t="inlineStr">
        <is>
          <t>0.341</t>
        </is>
      </c>
      <c r="D26" s="11" t="inlineStr">
        <is>
          <t>-0.304</t>
        </is>
      </c>
      <c r="E26" s="12" t="inlineStr">
        <is>
          <t>MultiScale never crosses zero on this class</t>
        </is>
      </c>
    </row>
    <row r="27" ht="43.59999999999999" customHeight="1">
      <c r="A27" s="9" t="inlineStr">
        <is>
          <t>Average score on those 36 images</t>
        </is>
      </c>
      <c r="B27" s="8" t="inlineStr">
        <is>
          <t>-0.827</t>
        </is>
      </c>
      <c r="C27" s="8" t="inlineStr">
        <is>
          <t>-0.745</t>
        </is>
      </c>
      <c r="D27" s="11" t="inlineStr">
        <is>
          <t>-1.200</t>
        </is>
      </c>
      <c r="E27" s="12" t="inlineStr">
        <is>
          <t>the class is pushed further down, not up</t>
        </is>
      </c>
    </row>
    <row r="28" ht="43.59999999999999" customHeight="1">
      <c r="A28" s="9" t="inlineStr">
        <is>
          <t>Found if the threshold were lowered to 0.1</t>
        </is>
      </c>
      <c r="B28" s="8" t="inlineStr">
        <is>
          <t>11</t>
        </is>
      </c>
      <c r="C28" s="8" t="inlineStr">
        <is>
          <t>5</t>
        </is>
      </c>
      <c r="D28" s="11" t="inlineStr">
        <is>
          <t>0</t>
        </is>
      </c>
      <c r="E28" s="12" t="inlineStr">
        <is>
          <t>lowering the threshold helps the baseline only</t>
        </is>
      </c>
    </row>
    <row r="29" ht="18" customHeight="1">
      <c r="A29" s="6" t="inlineStr">
        <is>
          <t>Size, speed and the other four classes</t>
        </is>
      </c>
    </row>
    <row r="30">
      <c r="A30" s="9" t="inlineStr">
        <is>
          <t>Training time, 50 epochs</t>
        </is>
      </c>
      <c r="B30" s="8" t="inlineStr">
        <is>
          <t>not recorded</t>
        </is>
      </c>
      <c r="C30" s="8" t="inlineStr">
        <is>
          <t>8.3 min</t>
        </is>
      </c>
      <c r="D30" s="8" t="inlineStr">
        <is>
          <t>10.9 min</t>
        </is>
      </c>
      <c r="E30" s="9" t="inlineStr">
        <is>
          <t>+2.6 min</t>
        </is>
      </c>
    </row>
    <row r="31">
      <c r="A31" s="9" t="inlineStr">
        <is>
          <t>Inference per image, no warmup</t>
        </is>
      </c>
      <c r="B31" s="8" t="inlineStr">
        <is>
          <t>not recorded</t>
        </is>
      </c>
      <c r="C31" s="8" t="inlineStr">
        <is>
          <t>3.285 ms</t>
        </is>
      </c>
      <c r="D31" s="8" t="inlineStr">
        <is>
          <t>3.401 ms</t>
        </is>
      </c>
      <c r="E31" s="9" t="inlineStr">
        <is>
          <t>+0.116 ms</t>
        </is>
      </c>
    </row>
    <row r="32">
      <c r="A32" s="9" t="inlineStr">
        <is>
          <t>Inference per image, model forward only</t>
        </is>
      </c>
      <c r="B32" s="8" t="inlineStr">
        <is>
          <t>not recorded</t>
        </is>
      </c>
      <c r="C32" s="8" t="inlineStr">
        <is>
          <t>0.858 ms</t>
        </is>
      </c>
      <c r="D32" s="8" t="inlineStr">
        <is>
          <t>1.241 ms</t>
        </is>
      </c>
      <c r="E32" s="9" t="inlineStr">
        <is>
          <t>+0.383 ms</t>
        </is>
      </c>
    </row>
    <row r="33" ht="43.59999999999999" customHeight="1">
      <c r="A33" s="9" t="inlineStr">
        <is>
          <t>Classes at or near a perfect score, of 5</t>
        </is>
      </c>
      <c r="B33" s="8" t="inlineStr">
        <is>
          <t>4</t>
        </is>
      </c>
      <c r="C33" s="8" t="inlineStr">
        <is>
          <t>4</t>
        </is>
      </c>
      <c r="D33" s="8" t="inlineStr">
        <is>
          <t>4</t>
        </is>
      </c>
      <c r="E33" s="9" t="inlineStr">
        <is>
          <t>the comparison turns on Folded Lens alone</t>
        </is>
      </c>
    </row>
    <row r="34"/>
    <row r="35" ht="30.4" customHeight="1">
      <c r="A35" s="4" t="inlineStr">
        <is>
          <t>Four of the five classes are at or near a perfect score in both models, so nothing in the overall numbers is about them. Every class in detail is on the Per class sheet. The Folded Lens sheet carries the reason for the failure, read from the annotation export.</t>
        </is>
      </c>
    </row>
    <row r="36" ht="30.4" customHeight="1">
      <c r="A36" s="4" t="inlineStr">
        <is>
          <t>Next: the remaining three architectures have been run in the same way and will be reported in this format. On Folded Lens, the remaining levers are the loss (a positive weight on the class) and the data, since the architecture is now ruled out.</t>
        </is>
      </c>
    </row>
    <row r="37" ht="30.4" customHeight="1">
      <c r="A37" s="13" t="inlineStr">
        <is>
          <t>Every number here was recomputed from the saved per-image scores by a separate check, 75 checks with no failures, and every file was checksum verified against the training machine. The Method and evidence sheet lists the checks.</t>
        </is>
      </c>
    </row>
  </sheetData>
  <mergeCells count="11">
    <mergeCell ref="A29:E29"/>
    <mergeCell ref="A4:E4"/>
    <mergeCell ref="A35:E35"/>
    <mergeCell ref="A2:E2"/>
    <mergeCell ref="A7:E7"/>
    <mergeCell ref="A10:E10"/>
    <mergeCell ref="A1:E1"/>
    <mergeCell ref="A37:E37"/>
    <mergeCell ref="A36:E36"/>
    <mergeCell ref="A6:E6"/>
    <mergeCell ref="A18:E18"/>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E35"/>
  <sheetViews>
    <sheetView showGridLines="0" workbookViewId="0">
      <pane ySplit="4" topLeftCell="A5" activePane="bottomLeft" state="frozen"/>
      <selection pane="bottomLeft" activeCell="A1" sqref="A1"/>
    </sheetView>
  </sheetViews>
  <sheetFormatPr baseColWidth="8" defaultRowHeight="15"/>
  <cols>
    <col width="30" customWidth="1" min="1" max="1"/>
    <col width="29" customWidth="1" min="2" max="2"/>
    <col width="29" customWidth="1" min="3" max="3"/>
    <col width="29" customWidth="1" min="4" max="4"/>
    <col width="19" customWidth="1" min="5" max="5"/>
  </cols>
  <sheetData>
    <row r="1" ht="26" customHeight="1">
      <c r="A1" s="1" t="inlineStr">
        <is>
          <t>Every class, every column</t>
        </is>
      </c>
    </row>
    <row r="2" ht="30.4" customHeight="1">
      <c r="A2" s="4" t="inlineStr">
        <is>
          <t>Threshold 0.5. Support is the number of test images that actually carry the class, and it is the same in every column because the test set is the same. AUPRC is threshold free.</t>
        </is>
      </c>
    </row>
    <row r="3"/>
    <row r="4" ht="30.4" customHeight="1">
      <c r="A4" s="5" t="inlineStr">
        <is>
          <t>Class and metric</t>
        </is>
      </c>
      <c r="B4" s="5" t="inlineStr">
        <is>
          <t>Baseline: ResNet50, 28 September</t>
        </is>
      </c>
      <c r="C4" s="5" t="inlineStr">
        <is>
          <t>Baseline repeat: ResNet50, 29 September</t>
        </is>
      </c>
      <c r="D4" s="5" t="inlineStr">
        <is>
          <t>MultiScale: notebook architecture 1, 29 September</t>
        </is>
      </c>
      <c r="E4" s="5" t="inlineStr">
        <is>
          <t>MultiScale against baseline</t>
        </is>
      </c>
    </row>
    <row r="5" ht="18" customHeight="1">
      <c r="A5" s="6" t="inlineStr">
        <is>
          <t>Cavity Off Center (P1_COC), 37 of the 677 test images</t>
        </is>
      </c>
    </row>
    <row r="6">
      <c r="A6" s="9" t="inlineStr">
        <is>
          <t>Precision</t>
        </is>
      </c>
      <c r="B6" s="14" t="inlineStr">
        <is>
          <t>1.00000</t>
        </is>
      </c>
      <c r="C6" s="14" t="inlineStr">
        <is>
          <t>1.00000</t>
        </is>
      </c>
      <c r="D6" s="14" t="inlineStr">
        <is>
          <t>1.00000</t>
        </is>
      </c>
      <c r="E6" s="9" t="inlineStr">
        <is>
          <t>+0.00000</t>
        </is>
      </c>
    </row>
    <row r="7">
      <c r="A7" s="9" t="inlineStr">
        <is>
          <t>Recall</t>
        </is>
      </c>
      <c r="B7" s="8" t="inlineStr">
        <is>
          <t>0.94595</t>
        </is>
      </c>
      <c r="C7" s="8" t="inlineStr">
        <is>
          <t>0.94595</t>
        </is>
      </c>
      <c r="D7" s="8" t="inlineStr">
        <is>
          <t>0.97297</t>
        </is>
      </c>
      <c r="E7" s="9" t="inlineStr">
        <is>
          <t>+0.02702</t>
        </is>
      </c>
    </row>
    <row r="8">
      <c r="A8" s="9" t="inlineStr">
        <is>
          <t>F1</t>
        </is>
      </c>
      <c r="B8" s="8" t="inlineStr">
        <is>
          <t>0.97222</t>
        </is>
      </c>
      <c r="C8" s="8" t="inlineStr">
        <is>
          <t>0.97222</t>
        </is>
      </c>
      <c r="D8" s="8" t="inlineStr">
        <is>
          <t>0.98630</t>
        </is>
      </c>
      <c r="E8" s="9" t="inlineStr">
        <is>
          <t>+0.01408</t>
        </is>
      </c>
    </row>
    <row r="9">
      <c r="A9" s="9" t="inlineStr">
        <is>
          <t>AUPRC</t>
        </is>
      </c>
      <c r="B9" s="14" t="inlineStr">
        <is>
          <t>1.00000</t>
        </is>
      </c>
      <c r="C9" s="14" t="inlineStr">
        <is>
          <t>1.00000</t>
        </is>
      </c>
      <c r="D9" s="14" t="inlineStr">
        <is>
          <t>1.00000</t>
        </is>
      </c>
      <c r="E9" s="9" t="inlineStr">
        <is>
          <t>+0.00000</t>
        </is>
      </c>
    </row>
    <row r="10"/>
    <row r="11" ht="18" customHeight="1">
      <c r="A11" s="6" t="inlineStr">
        <is>
          <t>Folded Lens (P1_FL), 36 of the 677 test images</t>
        </is>
      </c>
    </row>
    <row r="12">
      <c r="A12" s="9" t="inlineStr">
        <is>
          <t>Precision</t>
        </is>
      </c>
      <c r="B12" s="11" t="inlineStr">
        <is>
          <t>0.66667</t>
        </is>
      </c>
      <c r="C12" s="11" t="inlineStr">
        <is>
          <t>0.00000</t>
        </is>
      </c>
      <c r="D12" s="11" t="inlineStr">
        <is>
          <t>0.00000</t>
        </is>
      </c>
      <c r="E12" s="12" t="inlineStr">
        <is>
          <t>-0.66667</t>
        </is>
      </c>
    </row>
    <row r="13">
      <c r="A13" s="9" t="inlineStr">
        <is>
          <t>Recall</t>
        </is>
      </c>
      <c r="B13" s="11" t="inlineStr">
        <is>
          <t>0.05556</t>
        </is>
      </c>
      <c r="C13" s="11" t="inlineStr">
        <is>
          <t>0.00000</t>
        </is>
      </c>
      <c r="D13" s="11" t="inlineStr">
        <is>
          <t>0.00000</t>
        </is>
      </c>
      <c r="E13" s="12" t="inlineStr">
        <is>
          <t>-0.05556</t>
        </is>
      </c>
    </row>
    <row r="14">
      <c r="A14" s="9" t="inlineStr">
        <is>
          <t>F1</t>
        </is>
      </c>
      <c r="B14" s="11" t="inlineStr">
        <is>
          <t>0.10256</t>
        </is>
      </c>
      <c r="C14" s="11" t="inlineStr">
        <is>
          <t>0.00000</t>
        </is>
      </c>
      <c r="D14" s="11" t="inlineStr">
        <is>
          <t>0.00000</t>
        </is>
      </c>
      <c r="E14" s="12" t="inlineStr">
        <is>
          <t>-0.10256</t>
        </is>
      </c>
    </row>
    <row r="15">
      <c r="A15" s="9" t="inlineStr">
        <is>
          <t>AUPRC</t>
        </is>
      </c>
      <c r="B15" s="8" t="inlineStr">
        <is>
          <t>0.52271</t>
        </is>
      </c>
      <c r="C15" s="8" t="inlineStr">
        <is>
          <t>0.58229</t>
        </is>
      </c>
      <c r="D15" s="11" t="inlineStr">
        <is>
          <t>0.49647</t>
        </is>
      </c>
      <c r="E15" s="12" t="inlineStr">
        <is>
          <t>-0.02624</t>
        </is>
      </c>
    </row>
    <row r="16"/>
    <row r="17" ht="18" customHeight="1">
      <c r="A17" s="6" t="inlineStr">
        <is>
          <t>Multiple Lenses (P1_ML), 289 of the 677 test images</t>
        </is>
      </c>
    </row>
    <row r="18">
      <c r="A18" s="9" t="inlineStr">
        <is>
          <t>Precision</t>
        </is>
      </c>
      <c r="B18" s="14" t="inlineStr">
        <is>
          <t>0.99655</t>
        </is>
      </c>
      <c r="C18" s="14" t="inlineStr">
        <is>
          <t>0.99654</t>
        </is>
      </c>
      <c r="D18" s="14" t="inlineStr">
        <is>
          <t>0.99655</t>
        </is>
      </c>
      <c r="E18" s="9" t="inlineStr">
        <is>
          <t>+0.00000</t>
        </is>
      </c>
    </row>
    <row r="19">
      <c r="A19" s="9" t="inlineStr">
        <is>
          <t>Recall</t>
        </is>
      </c>
      <c r="B19" s="14" t="inlineStr">
        <is>
          <t>1.00000</t>
        </is>
      </c>
      <c r="C19" s="14" t="inlineStr">
        <is>
          <t>0.99654</t>
        </is>
      </c>
      <c r="D19" s="14" t="inlineStr">
        <is>
          <t>1.00000</t>
        </is>
      </c>
      <c r="E19" s="9" t="inlineStr">
        <is>
          <t>+0.00000</t>
        </is>
      </c>
    </row>
    <row r="20">
      <c r="A20" s="9" t="inlineStr">
        <is>
          <t>F1</t>
        </is>
      </c>
      <c r="B20" s="14" t="inlineStr">
        <is>
          <t>0.99827</t>
        </is>
      </c>
      <c r="C20" s="14" t="inlineStr">
        <is>
          <t>0.99654</t>
        </is>
      </c>
      <c r="D20" s="14" t="inlineStr">
        <is>
          <t>0.99827</t>
        </is>
      </c>
      <c r="E20" s="9" t="inlineStr">
        <is>
          <t>+0.00000</t>
        </is>
      </c>
    </row>
    <row r="21">
      <c r="A21" s="9" t="inlineStr">
        <is>
          <t>AUPRC</t>
        </is>
      </c>
      <c r="B21" s="14" t="inlineStr">
        <is>
          <t>1.00000</t>
        </is>
      </c>
      <c r="C21" s="14" t="inlineStr">
        <is>
          <t>0.99999</t>
        </is>
      </c>
      <c r="D21" s="14" t="inlineStr">
        <is>
          <t>0.99999</t>
        </is>
      </c>
      <c r="E21" s="9" t="inlineStr">
        <is>
          <t>-0.00001</t>
        </is>
      </c>
    </row>
    <row r="22"/>
    <row r="23" ht="18" customHeight="1">
      <c r="A23" s="6" t="inlineStr">
        <is>
          <t>Missing Primary Package (P1_MPP), 286 of the 677 test images</t>
        </is>
      </c>
    </row>
    <row r="24">
      <c r="A24" s="9" t="inlineStr">
        <is>
          <t>Precision</t>
        </is>
      </c>
      <c r="B24" s="14" t="inlineStr">
        <is>
          <t>1.00000</t>
        </is>
      </c>
      <c r="C24" s="14" t="inlineStr">
        <is>
          <t>1.00000</t>
        </is>
      </c>
      <c r="D24" s="14" t="inlineStr">
        <is>
          <t>1.00000</t>
        </is>
      </c>
      <c r="E24" s="9" t="inlineStr">
        <is>
          <t>+0.00000</t>
        </is>
      </c>
    </row>
    <row r="25">
      <c r="A25" s="9" t="inlineStr">
        <is>
          <t>Recall</t>
        </is>
      </c>
      <c r="B25" s="14" t="inlineStr">
        <is>
          <t>1.00000</t>
        </is>
      </c>
      <c r="C25" s="14" t="inlineStr">
        <is>
          <t>0.99650</t>
        </is>
      </c>
      <c r="D25" s="14" t="inlineStr">
        <is>
          <t>0.99650</t>
        </is>
      </c>
      <c r="E25" s="9" t="inlineStr">
        <is>
          <t>-0.00350</t>
        </is>
      </c>
    </row>
    <row r="26">
      <c r="A26" s="9" t="inlineStr">
        <is>
          <t>F1</t>
        </is>
      </c>
      <c r="B26" s="14" t="inlineStr">
        <is>
          <t>1.00000</t>
        </is>
      </c>
      <c r="C26" s="14" t="inlineStr">
        <is>
          <t>0.99825</t>
        </is>
      </c>
      <c r="D26" s="14" t="inlineStr">
        <is>
          <t>0.99825</t>
        </is>
      </c>
      <c r="E26" s="9" t="inlineStr">
        <is>
          <t>-0.00175</t>
        </is>
      </c>
    </row>
    <row r="27">
      <c r="A27" s="9" t="inlineStr">
        <is>
          <t>AUPRC</t>
        </is>
      </c>
      <c r="B27" s="14" t="inlineStr">
        <is>
          <t>1.00000</t>
        </is>
      </c>
      <c r="C27" s="14" t="inlineStr">
        <is>
          <t>1.00000</t>
        </is>
      </c>
      <c r="D27" s="14" t="inlineStr">
        <is>
          <t>0.99801</t>
        </is>
      </c>
      <c r="E27" s="9" t="inlineStr">
        <is>
          <t>-0.00199</t>
        </is>
      </c>
    </row>
    <row r="28"/>
    <row r="29" ht="18" customHeight="1">
      <c r="A29" s="6" t="inlineStr">
        <is>
          <t>Missing Lens (P1_NL), 65 of the 677 test images</t>
        </is>
      </c>
    </row>
    <row r="30">
      <c r="A30" s="9" t="inlineStr">
        <is>
          <t>Precision</t>
        </is>
      </c>
      <c r="B30" s="14" t="inlineStr">
        <is>
          <t>1.00000</t>
        </is>
      </c>
      <c r="C30" s="14" t="inlineStr">
        <is>
          <t>1.00000</t>
        </is>
      </c>
      <c r="D30" s="14" t="inlineStr">
        <is>
          <t>1.00000</t>
        </is>
      </c>
      <c r="E30" s="9" t="inlineStr">
        <is>
          <t>+0.00000</t>
        </is>
      </c>
    </row>
    <row r="31">
      <c r="A31" s="9" t="inlineStr">
        <is>
          <t>Recall</t>
        </is>
      </c>
      <c r="B31" s="8" t="inlineStr">
        <is>
          <t>0.93846</t>
        </is>
      </c>
      <c r="C31" s="8" t="inlineStr">
        <is>
          <t>0.80000</t>
        </is>
      </c>
      <c r="D31" s="8" t="inlineStr">
        <is>
          <t>0.80000</t>
        </is>
      </c>
      <c r="E31" s="9" t="inlineStr">
        <is>
          <t>-0.13846</t>
        </is>
      </c>
    </row>
    <row r="32">
      <c r="A32" s="9" t="inlineStr">
        <is>
          <t>F1</t>
        </is>
      </c>
      <c r="B32" s="8" t="inlineStr">
        <is>
          <t>0.96825</t>
        </is>
      </c>
      <c r="C32" s="8" t="inlineStr">
        <is>
          <t>0.88889</t>
        </is>
      </c>
      <c r="D32" s="8" t="inlineStr">
        <is>
          <t>0.88889</t>
        </is>
      </c>
      <c r="E32" s="9" t="inlineStr">
        <is>
          <t>-0.07936</t>
        </is>
      </c>
    </row>
    <row r="33">
      <c r="A33" s="9" t="inlineStr">
        <is>
          <t>AUPRC</t>
        </is>
      </c>
      <c r="B33" s="14" t="inlineStr">
        <is>
          <t>1.00000</t>
        </is>
      </c>
      <c r="C33" s="14" t="inlineStr">
        <is>
          <t>0.99617</t>
        </is>
      </c>
      <c r="D33" s="14" t="inlineStr">
        <is>
          <t>0.81758</t>
        </is>
      </c>
      <c r="E33" s="9" t="inlineStr">
        <is>
          <t>-0.18242</t>
        </is>
      </c>
    </row>
    <row r="34"/>
    <row r="35" ht="30.4" customHeight="1">
      <c r="A35" s="4" t="inlineStr">
        <is>
          <t>Folded Lens is the only class where either model fails. On the other four the two models differ by at most 0.18 in AUPRC, all of it on Missing Lens, and that difference is threshold placement rather than ranking.</t>
        </is>
      </c>
    </row>
  </sheetData>
  <mergeCells count="8">
    <mergeCell ref="A29:E29"/>
    <mergeCell ref="A35:E35"/>
    <mergeCell ref="A2:E2"/>
    <mergeCell ref="A11:E11"/>
    <mergeCell ref="A1:E1"/>
    <mergeCell ref="A5:E5"/>
    <mergeCell ref="A23:E23"/>
    <mergeCell ref="A17:E17"/>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46" customWidth="1" min="1" max="1"/>
    <col width="24" customWidth="1" min="2" max="2"/>
    <col width="24" customWidth="1" min="3" max="3"/>
    <col width="24" customWidth="1" min="4" max="4"/>
    <col width="52" customWidth="1" min="5" max="5"/>
  </cols>
  <sheetData>
    <row r="1" ht="26" customHeight="1">
      <c r="A1" s="1" t="inlineStr">
        <is>
          <t>Folded Lens: the class that fails, and why</t>
        </is>
      </c>
    </row>
    <row r="2"/>
    <row r="3" ht="18" customHeight="1">
      <c r="A3" s="6" t="inlineStr">
        <is>
          <t>What the models do</t>
        </is>
      </c>
    </row>
    <row r="4" ht="43.59999999999999" customHeight="1">
      <c r="A4" s="5" t="inlineStr">
        <is>
          <t>Folded Lens reading</t>
        </is>
      </c>
      <c r="B4" s="5" t="inlineStr">
        <is>
          <t>Baseline: ResNet50, 28 September</t>
        </is>
      </c>
      <c r="C4" s="5" t="inlineStr">
        <is>
          <t>Baseline repeat: ResNet50, 29 September</t>
        </is>
      </c>
      <c r="D4" s="5" t="inlineStr">
        <is>
          <t>MultiScale: notebook architecture 1, 29 September</t>
        </is>
      </c>
      <c r="E4" s="5" t="inlineStr">
        <is>
          <t>Note</t>
        </is>
      </c>
    </row>
    <row r="5">
      <c r="A5" s="9" t="inlineStr">
        <is>
          <t>Images with Folded Lens in the test set</t>
        </is>
      </c>
      <c r="B5" s="8" t="inlineStr">
        <is>
          <t>36</t>
        </is>
      </c>
      <c r="C5" s="8" t="inlineStr">
        <is>
          <t>36</t>
        </is>
      </c>
      <c r="D5" s="8" t="inlineStr">
        <is>
          <t>36</t>
        </is>
      </c>
      <c r="E5" s="9" t="inlineStr">
        <is>
          <t>the same 36 images in every column</t>
        </is>
      </c>
    </row>
    <row r="6">
      <c r="A6" s="12" t="inlineStr">
        <is>
          <t>Found at threshold 0.5</t>
        </is>
      </c>
      <c r="B6" s="11" t="inlineStr">
        <is>
          <t>2</t>
        </is>
      </c>
      <c r="C6" s="11" t="inlineStr">
        <is>
          <t>0</t>
        </is>
      </c>
      <c r="D6" s="11" t="inlineStr">
        <is>
          <t>0</t>
        </is>
      </c>
      <c r="E6" s="12" t="inlineStr">
        <is>
          <t>the baseline finds 2, MultiScale finds none</t>
        </is>
      </c>
    </row>
    <row r="7">
      <c r="A7" s="9" t="inlineStr">
        <is>
          <t>Missed</t>
        </is>
      </c>
      <c r="B7" s="8" t="inlineStr">
        <is>
          <t>34</t>
        </is>
      </c>
      <c r="C7" s="8" t="inlineStr">
        <is>
          <t>36</t>
        </is>
      </c>
      <c r="D7" s="8" t="inlineStr">
        <is>
          <t>36</t>
        </is>
      </c>
      <c r="E7" s="9" t="inlineStr">
        <is>
          <t>every Folded Lens image is missed by MultiScale</t>
        </is>
      </c>
    </row>
    <row r="8">
      <c r="A8" s="9" t="inlineStr">
        <is>
          <t>Fired wrongly</t>
        </is>
      </c>
      <c r="B8" s="8" t="inlineStr">
        <is>
          <t>1</t>
        </is>
      </c>
      <c r="C8" s="8" t="inlineStr">
        <is>
          <t>0</t>
        </is>
      </c>
      <c r="D8" s="8" t="inlineStr">
        <is>
          <t>0</t>
        </is>
      </c>
      <c r="E8" s="9" t="inlineStr">
        <is>
          <t>no false alarm from either later run</t>
        </is>
      </c>
    </row>
    <row r="9" ht="30.4" customHeight="1">
      <c r="A9" s="9" t="inlineStr">
        <is>
          <t>Best score reached on any of the 36</t>
        </is>
      </c>
      <c r="B9" s="8" t="inlineStr">
        <is>
          <t>0.698</t>
        </is>
      </c>
      <c r="C9" s="8" t="inlineStr">
        <is>
          <t>0.341</t>
        </is>
      </c>
      <c r="D9" s="11" t="inlineStr">
        <is>
          <t>-0.304</t>
        </is>
      </c>
      <c r="E9" s="12" t="inlineStr">
        <is>
          <t>in MultiScale every score is below zero, so no threshold reaches the class</t>
        </is>
      </c>
    </row>
    <row r="10" ht="30.4" customHeight="1">
      <c r="A10" s="9" t="inlineStr">
        <is>
          <t>Average score on the 36</t>
        </is>
      </c>
      <c r="B10" s="8" t="inlineStr">
        <is>
          <t>-0.827</t>
        </is>
      </c>
      <c r="C10" s="8" t="inlineStr">
        <is>
          <t>-0.745</t>
        </is>
      </c>
      <c r="D10" s="11" t="inlineStr">
        <is>
          <t>-1.200</t>
        </is>
      </c>
      <c r="E10" s="12" t="inlineStr">
        <is>
          <t>more capacity, lower average: the output is being switched off harder</t>
        </is>
      </c>
    </row>
    <row r="11" ht="30.4" customHeight="1">
      <c r="A11" s="9" t="inlineStr">
        <is>
          <t>Found at thresholds 0.5 / 0.3 / 0.2 / 0.1</t>
        </is>
      </c>
      <c r="B11" s="8" t="inlineStr">
        <is>
          <t>2 / 6 / 9 / 11</t>
        </is>
      </c>
      <c r="C11" s="8" t="inlineStr">
        <is>
          <t>0 / 1 / 2 / 5</t>
        </is>
      </c>
      <c r="D11" s="11" t="inlineStr">
        <is>
          <t>0 / 0 / 0 / 0</t>
        </is>
      </c>
      <c r="E11" s="12" t="inlineStr">
        <is>
          <t>lowering the threshold recovers the class in the baseline only</t>
        </is>
      </c>
    </row>
    <row r="12" ht="30.4" customHeight="1">
      <c r="A12" s="9" t="inlineStr">
        <is>
          <t>AUPRC, threshold free</t>
        </is>
      </c>
      <c r="B12" s="8" t="inlineStr">
        <is>
          <t>0.52271</t>
        </is>
      </c>
      <c r="C12" s="8" t="inlineStr">
        <is>
          <t>0.58229</t>
        </is>
      </c>
      <c r="D12" s="11" t="inlineStr">
        <is>
          <t>0.49647</t>
        </is>
      </c>
      <c r="E12" s="12" t="inlineStr">
        <is>
          <t>random ranking would be 0.0532, so the ranking carries real signal</t>
        </is>
      </c>
    </row>
    <row r="13"/>
    <row r="14" ht="30.4" customHeight="1">
      <c r="A14" s="4" t="inlineStr">
        <is>
          <t>For scale: predicting Folded Lens wherever Multiple Lenses is predicted would score F1 0.22 on this test set, with recall 1.00 and precision 0.13. Every model in this workbook scores between 0.00 and 0.10. So the information is partly present in the models, and the separate Folded Lens decision is what fails.</t>
        </is>
      </c>
    </row>
    <row r="15" ht="18" customHeight="1">
      <c r="A15" s="6" t="inlineStr">
        <is>
          <t>What the images actually contain, read from the annotation export</t>
        </is>
      </c>
    </row>
    <row r="16" ht="30.4" customHeight="1">
      <c r="A16" s="4" t="inlineStr">
        <is>
          <t>All 178 Folded Lens pictures in the whole export also carry Multiple Lenses, and none of them carries any of the other three classes the model predicts. In the model's own label space, Folded Lens never appears alone.</t>
        </is>
      </c>
    </row>
    <row r="17" ht="42" customHeight="1">
      <c r="A17" s="4" t="inlineStr">
        <is>
          <t>But the export labels 11 classes, not 5, and 111 of the 178 Folded Lens pictures carry a class the model has no output for. Folded Lens pictures are also the busiest in the set: 463 of the 1,264 Multiple Lenses pictures without Folded Lens carry an extra class (37 per cent), against 111 of 178 Folded Lens pictures (62 per cent).</t>
        </is>
      </c>
    </row>
    <row r="18"/>
    <row r="19" ht="30.4" customHeight="1">
      <c r="A19" s="5" t="inlineStr">
        <is>
          <t>What the picture carries besides Folded Lens</t>
        </is>
      </c>
      <c r="B19" s="5" t="inlineStr">
        <is>
          <t>Pictures</t>
        </is>
      </c>
      <c r="C19" s="5" t="inlineStr">
        <is>
          <t>Share</t>
        </is>
      </c>
      <c r="D19" s="5" t="inlineStr">
        <is>
          <t>In the model's 5 labels?</t>
        </is>
      </c>
      <c r="E19" s="5" t="inlineStr">
        <is>
          <t>What it means</t>
        </is>
      </c>
    </row>
    <row r="20">
      <c r="A20" s="9" t="inlineStr">
        <is>
          <t>Multiple Lenses + Lens Off Center</t>
        </is>
      </c>
      <c r="B20" s="15" t="n">
        <v>89</v>
      </c>
      <c r="C20" s="8" t="inlineStr">
        <is>
          <t>50%</t>
        </is>
      </c>
      <c r="D20" s="15" t="inlineStr">
        <is>
          <t>no, not predicted</t>
        </is>
      </c>
      <c r="E20" s="9" t="inlineStr">
        <is>
          <t>1 class the model never sees and never predicts</t>
        </is>
      </c>
    </row>
    <row r="21">
      <c r="A21" s="9" t="inlineStr">
        <is>
          <t>Multiple Lenses</t>
        </is>
      </c>
      <c r="B21" s="16" t="n">
        <v>67</v>
      </c>
      <c r="C21" s="8" t="inlineStr">
        <is>
          <t>38%</t>
        </is>
      </c>
      <c r="D21" s="14" t="inlineStr">
        <is>
          <t>yes</t>
        </is>
      </c>
      <c r="E21" s="9" t="inlineStr">
        <is>
          <t>only classes the model predicts</t>
        </is>
      </c>
    </row>
    <row r="22" ht="30.4" customHeight="1">
      <c r="A22" s="9" t="inlineStr">
        <is>
          <t>Multiple Lenses + Dirty Camera + Lens Off Center</t>
        </is>
      </c>
      <c r="B22" s="15" t="n">
        <v>10</v>
      </c>
      <c r="C22" s="8" t="inlineStr">
        <is>
          <t>6%</t>
        </is>
      </c>
      <c r="D22" s="15" t="inlineStr">
        <is>
          <t>no, not predicted</t>
        </is>
      </c>
      <c r="E22" s="9" t="inlineStr">
        <is>
          <t>2 classes the model never sees and never predicts</t>
        </is>
      </c>
    </row>
    <row r="23">
      <c r="A23" s="9" t="inlineStr">
        <is>
          <t>Multiple Lenses + Dirty Camera</t>
        </is>
      </c>
      <c r="B23" s="15" t="n">
        <v>9</v>
      </c>
      <c r="C23" s="8" t="inlineStr">
        <is>
          <t>5%</t>
        </is>
      </c>
      <c r="D23" s="15" t="inlineStr">
        <is>
          <t>no, not predicted</t>
        </is>
      </c>
      <c r="E23" s="9" t="inlineStr">
        <is>
          <t>1 class the model never sees and never predicts</t>
        </is>
      </c>
    </row>
    <row r="24" ht="30.4" customHeight="1">
      <c r="A24" s="9" t="inlineStr">
        <is>
          <t>Multiple Lenses + Low Dose Obstructing ROI + Lens Off Center</t>
        </is>
      </c>
      <c r="B24" s="15" t="n">
        <v>2</v>
      </c>
      <c r="C24" s="8" t="inlineStr">
        <is>
          <t>1%</t>
        </is>
      </c>
      <c r="D24" s="15" t="inlineStr">
        <is>
          <t>no, not predicted</t>
        </is>
      </c>
      <c r="E24" s="9" t="inlineStr">
        <is>
          <t>2 classes the model never sees and never predicts</t>
        </is>
      </c>
    </row>
    <row r="25">
      <c r="A25" s="9" t="inlineStr">
        <is>
          <t>Multiple Lenses + Low Dose Obstructing ROI</t>
        </is>
      </c>
      <c r="B25" s="15" t="n">
        <v>1</v>
      </c>
      <c r="C25" s="8" t="inlineStr">
        <is>
          <t>1%</t>
        </is>
      </c>
      <c r="D25" s="15" t="inlineStr">
        <is>
          <t>no, not predicted</t>
        </is>
      </c>
      <c r="E25" s="9" t="inlineStr">
        <is>
          <t>1 class the model never sees and never predicts</t>
        </is>
      </c>
    </row>
    <row r="26" ht="30.4" customHeight="1">
      <c r="A26" s="17" t="inlineStr">
        <is>
          <t>Total carrying a class outside the model's 5</t>
        </is>
      </c>
      <c r="B26" s="15" t="n">
        <v>111</v>
      </c>
      <c r="C26" s="15" t="inlineStr">
        <is>
          <t>62%</t>
        </is>
      </c>
      <c r="D26" s="15" t="inlineStr">
        <is>
          <t>no, not predicted</t>
        </is>
      </c>
      <c r="E26" s="18" t="inlineStr">
        <is>
          <t>the model is blind to these while it decides Folded Lens</t>
        </is>
      </c>
    </row>
    <row r="27"/>
    <row r="28" ht="30.4" customHeight="1">
      <c r="A28" s="5" t="inlineStr">
        <is>
          <t>Class outside the model's 5 labels</t>
        </is>
      </c>
      <c r="B28" s="5" t="inlineStr">
        <is>
          <t>On Folded Lens pictures</t>
        </is>
      </c>
      <c r="C28" s="5" t="inlineStr">
        <is>
          <t>Of 178</t>
        </is>
      </c>
      <c r="D28" s="5" t="inlineStr">
        <is>
          <t>On the other Multiple Lenses pictures</t>
        </is>
      </c>
      <c r="E28" s="5" t="inlineStr">
        <is>
          <t>Note</t>
        </is>
      </c>
    </row>
    <row r="29">
      <c r="A29" s="9" t="inlineStr">
        <is>
          <t>Lens Off Center (P2_LOC)</t>
        </is>
      </c>
      <c r="B29" s="8" t="n">
        <v>101</v>
      </c>
      <c r="C29" s="8" t="inlineStr">
        <is>
          <t>57%</t>
        </is>
      </c>
      <c r="D29" s="8" t="n">
        <v>437</v>
      </c>
      <c r="E29" s="9" t="inlineStr">
        <is>
          <t>the model has no output for this class</t>
        </is>
      </c>
    </row>
    <row r="30">
      <c r="A30" s="9" t="inlineStr">
        <is>
          <t>Dirty Camera (P2_DC)</t>
        </is>
      </c>
      <c r="B30" s="8" t="n">
        <v>19</v>
      </c>
      <c r="C30" s="8" t="inlineStr">
        <is>
          <t>11%</t>
        </is>
      </c>
      <c r="D30" s="8" t="n">
        <v>77</v>
      </c>
      <c r="E30" s="9" t="inlineStr">
        <is>
          <t>the model has no output for this class</t>
        </is>
      </c>
    </row>
    <row r="31">
      <c r="A31" s="9" t="inlineStr">
        <is>
          <t>Low Dose Obstructing ROI (P2_LD)</t>
        </is>
      </c>
      <c r="B31" s="8" t="n">
        <v>3</v>
      </c>
      <c r="C31" s="8" t="inlineStr">
        <is>
          <t>2%</t>
        </is>
      </c>
      <c r="D31" s="8" t="n">
        <v>9</v>
      </c>
      <c r="E31" s="9" t="inlineStr">
        <is>
          <t>the model has no output for this class</t>
        </is>
      </c>
    </row>
    <row r="32"/>
    <row r="33" ht="54" customHeight="1">
      <c r="A33" s="4" t="inlineStr">
        <is>
          <t>Why this matters: the model is asked to spot a folded lens inside pictures that are often already lens off centre and sometimes dirty camera, and it has no output in which to say so. That is a plausible mechanism for the failure, and it points at the labels and the data rather than at the architecture. It also raises one question worth putting to the annotators: whether some of the Multiple Lenses pictures that carry a second class actually show a folded lens that was never labelled.</t>
        </is>
      </c>
    </row>
  </sheetData>
  <mergeCells count="7">
    <mergeCell ref="A16:E16"/>
    <mergeCell ref="A15:E15"/>
    <mergeCell ref="A33:E33"/>
    <mergeCell ref="A1:E1"/>
    <mergeCell ref="A14:E14"/>
    <mergeCell ref="A17:E17"/>
    <mergeCell ref="A3:E3"/>
  </mergeCells>
  <pageMargins left="0.75" right="0.75" top="1" bottom="1" header="0.5" footer="0.5"/>
</worksheet>
</file>

<file path=xl/worksheets/sheet4.xml><?xml version="1.0" encoding="utf-8"?>
<worksheet xmlns="http://schemas.openxmlformats.org/spreadsheetml/2006/main">
  <sheetPr>
    <tabColor rgb="007F7F7F"/>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44" customWidth="1" min="1" max="1"/>
    <col width="29" customWidth="1" min="2" max="2"/>
    <col width="29" customWidth="1" min="3" max="3"/>
    <col width="29" customWidth="1" min="4" max="4"/>
    <col width="34" customWidth="1" min="5" max="5"/>
  </cols>
  <sheetData>
    <row r="1" ht="26" customHeight="1">
      <c r="A1" s="1" t="inlineStr">
        <is>
          <t>Training and inference time, measured with no warmup</t>
        </is>
      </c>
    </row>
    <row r="2" ht="30.4" customHeight="1">
      <c r="A2" s="4" t="inlineStr">
        <is>
          <t>The first pass over the 677 test images is the timed pass, and the metrics come from that same pass, so nothing is measured twice and no warmup of any kind is used. The models ran one at a time on the device, so the two columns never shared it.</t>
        </is>
      </c>
    </row>
    <row r="3"/>
    <row r="4" ht="30.4" customHeight="1">
      <c r="A4" s="5" t="inlineStr">
        <is>
          <t>Timing</t>
        </is>
      </c>
      <c r="B4" s="5" t="inlineStr">
        <is>
          <t>Baseline: ResNet50, 28 September</t>
        </is>
      </c>
      <c r="C4" s="5" t="inlineStr">
        <is>
          <t>Baseline repeat: ResNet50, 29 September</t>
        </is>
      </c>
      <c r="D4" s="5" t="inlineStr">
        <is>
          <t>MultiScale: notebook architecture 1, 29 September</t>
        </is>
      </c>
      <c r="E4" s="5" t="inlineStr">
        <is>
          <t>Note</t>
        </is>
      </c>
    </row>
    <row r="5" ht="30.4" customHeight="1">
      <c r="A5" s="9" t="inlineStr">
        <is>
          <t>Device</t>
        </is>
      </c>
      <c r="B5" s="8" t="inlineStr">
        <is>
          <t>not recorded</t>
        </is>
      </c>
      <c r="C5" s="8" t="inlineStr">
        <is>
          <t>NVIDIA A100 80GB PCIe</t>
        </is>
      </c>
      <c r="D5" s="8" t="inlineStr">
        <is>
          <t>NVIDIA A100 80GB PCIe</t>
        </is>
      </c>
      <c r="E5" s="9" t="inlineStr">
        <is>
          <t>the same card for both, one run at a time</t>
        </is>
      </c>
    </row>
    <row r="6">
      <c r="A6" s="9" t="inlineStr">
        <is>
          <t>Batch size</t>
        </is>
      </c>
      <c r="B6" s="8" t="inlineStr">
        <is>
          <t>not recorded</t>
        </is>
      </c>
      <c r="C6" s="8" t="n">
        <v>8</v>
      </c>
      <c r="D6" s="8" t="n">
        <v>8</v>
      </c>
      <c r="E6" s="9" t="inlineStr">
        <is>
          <t>the same for both</t>
        </is>
      </c>
    </row>
    <row r="7">
      <c r="A7" s="9" t="inlineStr">
        <is>
          <t>Images timed</t>
        </is>
      </c>
      <c r="B7" s="8" t="inlineStr">
        <is>
          <t>not recorded</t>
        </is>
      </c>
      <c r="C7" s="8" t="n">
        <v>677</v>
      </c>
      <c r="D7" s="8" t="n">
        <v>677</v>
      </c>
      <c r="E7" s="9" t="inlineStr">
        <is>
          <t>the whole test set</t>
        </is>
      </c>
    </row>
    <row r="8">
      <c r="A8" s="9" t="inlineStr">
        <is>
          <t>Warmup used</t>
        </is>
      </c>
      <c r="B8" s="8" t="inlineStr">
        <is>
          <t>not recorded</t>
        </is>
      </c>
      <c r="C8" s="8" t="inlineStr">
        <is>
          <t>No</t>
        </is>
      </c>
      <c r="D8" s="8" t="inlineStr">
        <is>
          <t>No</t>
        </is>
      </c>
      <c r="E8" s="9" t="inlineStr">
        <is>
          <t>none anywhere in these numbers</t>
        </is>
      </c>
    </row>
    <row r="9">
      <c r="A9" s="9" t="inlineStr">
        <is>
          <t>Inference per image, first pass</t>
        </is>
      </c>
      <c r="B9" s="8" t="inlineStr">
        <is>
          <t>not recorded</t>
        </is>
      </c>
      <c r="C9" s="8" t="inlineStr">
        <is>
          <t>3.285 ms</t>
        </is>
      </c>
      <c r="D9" s="8" t="inlineStr">
        <is>
          <t>3.401 ms</t>
        </is>
      </c>
      <c r="E9" s="9" t="inlineStr">
        <is>
          <t>the headline no-warmup number</t>
        </is>
      </c>
    </row>
    <row r="10" ht="30.4" customHeight="1">
      <c r="A10" s="9" t="inlineStr">
        <is>
          <t>First pass over all 677 images</t>
        </is>
      </c>
      <c r="B10" s="8" t="inlineStr">
        <is>
          <t>not recorded</t>
        </is>
      </c>
      <c r="C10" s="8" t="inlineStr">
        <is>
          <t>2.224 s</t>
        </is>
      </c>
      <c r="D10" s="8" t="inlineStr">
        <is>
          <t>2.303 s</t>
        </is>
      </c>
      <c r="E10" s="9" t="inlineStr">
        <is>
          <t>per-image time across the whole set</t>
        </is>
      </c>
    </row>
    <row r="11" ht="30.4" customHeight="1">
      <c r="A11" s="9" t="inlineStr">
        <is>
          <t>First batch of that pass</t>
        </is>
      </c>
      <c r="B11" s="8" t="inlineStr">
        <is>
          <t>not recorded</t>
        </is>
      </c>
      <c r="C11" s="8" t="inlineStr">
        <is>
          <t>23.5 ms</t>
        </is>
      </c>
      <c r="D11" s="8" t="inlineStr">
        <is>
          <t>31.6 ms</t>
        </is>
      </c>
      <c r="E11" s="9" t="inlineStr">
        <is>
          <t>process start, CUDA setup and checkpoint load sit before this</t>
        </is>
      </c>
    </row>
    <row r="12">
      <c r="A12" s="9" t="inlineStr">
        <is>
          <t>Inference per image, repeats</t>
        </is>
      </c>
      <c r="B12" s="8" t="inlineStr">
        <is>
          <t>not recorded</t>
        </is>
      </c>
      <c r="C12" s="8" t="inlineStr">
        <is>
          <t>3.230 ms</t>
        </is>
      </c>
      <c r="D12" s="8" t="inlineStr">
        <is>
          <t>3.289 ms</t>
        </is>
      </c>
      <c r="E12" s="9" t="inlineStr">
        <is>
          <t>for reference only</t>
        </is>
      </c>
    </row>
    <row r="13" ht="30.4" customHeight="1">
      <c r="A13" s="9" t="inlineStr">
        <is>
          <t>Model forward pass alone</t>
        </is>
      </c>
      <c r="B13" s="8" t="inlineStr">
        <is>
          <t>not recorded</t>
        </is>
      </c>
      <c r="C13" s="8" t="inlineStr">
        <is>
          <t>0.858 ms</t>
        </is>
      </c>
      <c r="D13" s="8" t="inlineStr">
        <is>
          <t>1.241 ms</t>
        </is>
      </c>
      <c r="E13" s="9" t="inlineStr">
        <is>
          <t>the rest of the per-image number is image loading and decoding</t>
        </is>
      </c>
    </row>
    <row r="14">
      <c r="A14" s="9" t="inlineStr">
        <is>
          <t>Training, 50 epochs</t>
        </is>
      </c>
      <c r="B14" s="8" t="inlineStr">
        <is>
          <t>not recorded</t>
        </is>
      </c>
      <c r="C14" s="8" t="inlineStr">
        <is>
          <t>500.6 s</t>
        </is>
      </c>
      <c r="D14" s="8" t="inlineStr">
        <is>
          <t>653.0 s</t>
        </is>
      </c>
      <c r="E14" s="9" t="inlineStr">
        <is>
          <t>MultiScale costs 2.6 minutes more</t>
        </is>
      </c>
    </row>
    <row r="15">
      <c r="A15" s="9" t="inlineStr">
        <is>
          <t>Training per epoch</t>
        </is>
      </c>
      <c r="B15" s="8" t="inlineStr">
        <is>
          <t>not recorded</t>
        </is>
      </c>
      <c r="C15" s="8" t="inlineStr">
        <is>
          <t>10.0 s</t>
        </is>
      </c>
      <c r="D15" s="8" t="inlineStr">
        <is>
          <t>13.1 s</t>
        </is>
      </c>
      <c r="E15" s="9" t="inlineStr">
        <is>
          <t>13.1 s against 10.0 s</t>
        </is>
      </c>
    </row>
    <row r="16"/>
    <row r="17" ht="30.4" customHeight="1">
      <c r="A17" s="4" t="inlineStr">
        <is>
          <t>Reading note: the forward pass is roughly a quarter to a third of the per-image number, so most of the measured time is image loading and decoding rather than the network. The 28 September run recorded no timing at all, which is the reason the baseline was repeated.</t>
        </is>
      </c>
    </row>
  </sheetData>
  <mergeCells count="3">
    <mergeCell ref="A2:E2"/>
    <mergeCell ref="A1:E1"/>
    <mergeCell ref="A17:E17"/>
  </mergeCells>
  <pageMargins left="0.75" right="0.75" top="1" bottom="1" header="0.5" footer="0.5"/>
</worksheet>
</file>

<file path=xl/worksheets/sheet5.xml><?xml version="1.0" encoding="utf-8"?>
<worksheet xmlns="http://schemas.openxmlformats.org/spreadsheetml/2006/main">
  <sheetPr>
    <tabColor rgb="00BFBFBF"/>
    <outlinePr summaryBelow="1" summaryRight="1"/>
    <pageSetUpPr/>
  </sheetPr>
  <dimension ref="A1:D12"/>
  <sheetViews>
    <sheetView showGridLines="0" workbookViewId="0">
      <selection activeCell="A1" sqref="A1"/>
    </sheetView>
  </sheetViews>
  <sheetFormatPr baseColWidth="8" defaultRowHeight="15"/>
  <cols>
    <col width="24" customWidth="1" min="1" max="1"/>
    <col width="9" customWidth="1" min="2" max="2"/>
    <col width="15" customWidth="1" min="3" max="3"/>
    <col width="15" customWidth="1" min="4" max="4"/>
    <col width="15" customWidth="1" min="5" max="5"/>
  </cols>
  <sheetData>
    <row r="1" ht="30" customHeight="1">
      <c r="A1" s="5" t="inlineStr">
        <is>
          <t>Class</t>
        </is>
      </c>
      <c r="B1" s="5" t="inlineStr">
        <is>
          <t>Code</t>
        </is>
      </c>
      <c r="C1" s="5" t="inlineStr">
        <is>
          <t>Baseline F1</t>
        </is>
      </c>
      <c r="D1" s="5" t="inlineStr">
        <is>
          <t>MultiScale F1</t>
        </is>
      </c>
    </row>
    <row r="2">
      <c r="A2" s="9" t="inlineStr">
        <is>
          <t>Cavity Off Center</t>
        </is>
      </c>
      <c r="B2" s="8" t="inlineStr">
        <is>
          <t>P1_COC</t>
        </is>
      </c>
      <c r="C2" s="8" t="n">
        <v>0.97222</v>
      </c>
      <c r="D2" s="9" t="n">
        <v>0.9863</v>
      </c>
    </row>
    <row r="3">
      <c r="A3" s="9" t="inlineStr">
        <is>
          <t>Folded Lens</t>
        </is>
      </c>
      <c r="B3" s="8" t="inlineStr">
        <is>
          <t>P1_FL</t>
        </is>
      </c>
      <c r="C3" s="8" t="n">
        <v>0.10256</v>
      </c>
      <c r="D3" s="9" t="n">
        <v>0</v>
      </c>
    </row>
    <row r="4">
      <c r="A4" s="9" t="inlineStr">
        <is>
          <t>Multiple Lenses</t>
        </is>
      </c>
      <c r="B4" s="8" t="inlineStr">
        <is>
          <t>P1_ML</t>
        </is>
      </c>
      <c r="C4" s="8" t="n">
        <v>0.99827</v>
      </c>
      <c r="D4" s="9" t="n">
        <v>0.99827</v>
      </c>
    </row>
    <row r="5">
      <c r="A5" s="9" t="inlineStr">
        <is>
          <t>Missing Primary Package</t>
        </is>
      </c>
      <c r="B5" s="8" t="inlineStr">
        <is>
          <t>P1_MPP</t>
        </is>
      </c>
      <c r="C5" s="8" t="n">
        <v>1</v>
      </c>
      <c r="D5" s="9" t="n">
        <v>0.99825</v>
      </c>
    </row>
    <row r="6">
      <c r="A6" s="9" t="inlineStr">
        <is>
          <t>Missing Lens</t>
        </is>
      </c>
      <c r="B6" s="8" t="inlineStr">
        <is>
          <t>P1_NL</t>
        </is>
      </c>
      <c r="C6" s="8" t="n">
        <v>0.9682500000000001</v>
      </c>
      <c r="D6" s="9" t="n">
        <v>0.88889</v>
      </c>
    </row>
    <row r="7"/>
    <row r="8" ht="30.4" customHeight="1">
      <c r="A8" s="5" t="inlineStr">
        <is>
          <t>Threshold</t>
        </is>
      </c>
      <c r="B8" s="5" t="inlineStr">
        <is>
          <t>Baseline</t>
        </is>
      </c>
      <c r="C8" s="5" t="inlineStr">
        <is>
          <t>Baseline repeat</t>
        </is>
      </c>
      <c r="D8" s="5" t="inlineStr">
        <is>
          <t>MultiScale</t>
        </is>
      </c>
    </row>
    <row r="9">
      <c r="A9" s="19" t="n">
        <v>0.5</v>
      </c>
      <c r="B9" s="8" t="n">
        <v>2</v>
      </c>
      <c r="C9" s="8" t="n">
        <v>0</v>
      </c>
      <c r="D9" s="9" t="n">
        <v>0</v>
      </c>
    </row>
    <row r="10">
      <c r="A10" s="19" t="n">
        <v>0.3</v>
      </c>
      <c r="B10" s="8" t="n">
        <v>6</v>
      </c>
      <c r="C10" s="8" t="n">
        <v>1</v>
      </c>
      <c r="D10" s="9" t="n">
        <v>0</v>
      </c>
    </row>
    <row r="11">
      <c r="A11" s="19" t="n">
        <v>0.2</v>
      </c>
      <c r="B11" s="8" t="n">
        <v>9</v>
      </c>
      <c r="C11" s="8" t="n">
        <v>2</v>
      </c>
      <c r="D11" s="9" t="n">
        <v>0</v>
      </c>
    </row>
    <row r="12">
      <c r="A12" s="19" t="n">
        <v>0.1</v>
      </c>
      <c r="B12" s="8" t="n">
        <v>11</v>
      </c>
      <c r="C12" s="8" t="n">
        <v>5</v>
      </c>
      <c r="D12" s="9" t="n">
        <v>0</v>
      </c>
    </row>
  </sheetData>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E2"/>
  <sheetViews>
    <sheetView showGridLines="0"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s>
  <sheetData>
    <row r="1" ht="24" customHeight="1">
      <c r="A1" s="1" t="inlineStr">
        <is>
          <t>Figures</t>
        </is>
      </c>
    </row>
    <row r="2" ht="43.59999999999999" customHeight="1">
      <c r="A2" s="13" t="inlineStr">
        <is>
          <t>Both charts read the numbers on the Figure data sheet. Short labels are used on the axes so nothing has to clip; the class codes are in the table next to it.</t>
        </is>
      </c>
    </row>
  </sheetData>
  <mergeCells count="2">
    <mergeCell ref="A2:E2"/>
    <mergeCell ref="A1:E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7F7F7F"/>
    <outlinePr summaryBelow="1" summaryRight="1"/>
    <pageSetUpPr/>
  </sheetPr>
  <dimension ref="A1:A28"/>
  <sheetViews>
    <sheetView showGridLines="0" workbookViewId="0">
      <selection activeCell="A1" sqref="A1"/>
    </sheetView>
  </sheetViews>
  <sheetFormatPr baseColWidth="8" defaultRowHeight="15"/>
  <cols>
    <col width="122" customWidth="1" min="1" max="1"/>
  </cols>
  <sheetData>
    <row r="1" ht="26" customHeight="1">
      <c r="A1" s="20" t="inlineStr">
        <is>
          <t>What was run</t>
        </is>
      </c>
    </row>
    <row r="2" ht="30.4" customHeight="1">
      <c r="A2" s="4" t="inlineStr">
        <is>
          <t>Two models, run one after the other on the same GPU, on all 3,377 lens presentation images and the same frozen 80/20 split: 2,700 train, 677 test, grouped so the same picture can never appear on both sides.</t>
        </is>
      </c>
    </row>
    <row r="3" ht="43.59999999999999" customHeight="1">
      <c r="A3" s="4" t="inlineStr">
        <is>
          <t>The baseline is the plain ResNet50. MultiScale is the first architecture in the architecture notebook: four parallel filter branches reading three depths of the network, fused into one feature map before the classifier head. 58.4 million parameters against 23.5 million.</t>
        </is>
      </c>
    </row>
    <row r="4" ht="20" customHeight="1">
      <c r="A4" s="6" t="inlineStr">
        <is>
          <t>Recipe, identical for both</t>
        </is>
      </c>
    </row>
    <row r="5" ht="30" customHeight="1">
      <c r="A5" s="4" t="inlineStr">
        <is>
          <t>Input: 224 x 224, pretrained backbone, no augmentation.</t>
        </is>
      </c>
    </row>
    <row r="6" ht="30" customHeight="1">
      <c r="A6" s="4" t="inlineStr">
        <is>
          <t>Output: 5 independent scores, one per lens presentation condition, because one picture can carry more than one condition.</t>
        </is>
      </c>
    </row>
    <row r="7" ht="30" customHeight="1">
      <c r="A7" s="4" t="inlineStr">
        <is>
          <t>Loss: binary cross entropy over the 5 outputs.</t>
        </is>
      </c>
    </row>
    <row r="8" ht="30" customHeight="1">
      <c r="A8" s="4" t="inlineStr">
        <is>
          <t>Optimizer: SGD, learning rate 1e-4, momentum 0.9, Nesterov, no warmup schedule.</t>
        </is>
      </c>
    </row>
    <row r="9" ht="30" customHeight="1">
      <c r="A9" s="4" t="inlineStr">
        <is>
          <t>50 epochs, batch 8, seed 42, fixed schedule, no early stopping.</t>
        </is>
      </c>
    </row>
    <row r="10" ht="20" customHeight="1">
      <c r="A10" s="6" t="inlineStr">
        <is>
          <t>How to read the tables</t>
        </is>
      </c>
    </row>
    <row r="11" ht="30.4" customHeight="1">
      <c r="A11" s="4" t="inlineStr">
        <is>
          <t>1. Macro AUPRC is the metric of record. Accuracy is uninformative here, because two of the five classes carry most of the labels.</t>
        </is>
      </c>
    </row>
    <row r="12" ht="30" customHeight="1">
      <c r="A12" s="4" t="inlineStr">
        <is>
          <t>2. Four of the five classes are at or near a perfect score in both models, so the comparison turns on Folded Lens alone.</t>
        </is>
      </c>
    </row>
    <row r="13" ht="30.4" customHeight="1">
      <c r="A13" s="4" t="inlineStr">
        <is>
          <t>3. One run per model. A repeat of the identical baseline configuration moved macro F1 by 0.037 and exact match by 0.018. Differences smaller than that are not a property of the architecture, and the baseline repeat column is that measurement.</t>
        </is>
      </c>
    </row>
    <row r="14" ht="30.4" customHeight="1">
      <c r="A14" s="4" t="inlineStr">
        <is>
          <t>4. Scores are logits, where zero is the 0.5 decision line. The threshold read-out on the Folded Lens sheet is a re-reading of the saved scores, not a second model.</t>
        </is>
      </c>
    </row>
    <row r="15" ht="43.59999999999999" customHeight="1">
      <c r="A15" s="4" t="inlineStr">
        <is>
          <t>5. MultiScale is faithful to the notebook: every filter count, branch, fusion width and head layer matches. The one deliberate difference is the final layer, which gives 5 scores instead of the notebook's single answer, because this task is multi-label. That was checked against the notebook's own models, parameter by parameter, before anything trained.</t>
        </is>
      </c>
    </row>
    <row r="16" ht="20" customHeight="1">
      <c r="A16" s="6" t="inlineStr">
        <is>
          <t>What backs these numbers</t>
        </is>
      </c>
    </row>
    <row r="17" ht="30.4" customHeight="1">
      <c r="A17" s="4" t="inlineStr">
        <is>
          <t>Every metric and every confusion count was recomputed from the saved per-image scores by a separate check, not by the training code: 75 checks, 0 failures.</t>
        </is>
      </c>
    </row>
    <row r="18" ht="30" customHeight="1">
      <c r="A18" s="4" t="inlineStr">
        <is>
          <t>The saved scores were proven to hold exactly the 677 test images of the frozen split, in order, against the split file.</t>
        </is>
      </c>
    </row>
    <row r="19" ht="30.4" customHeight="1">
      <c r="A19" s="4" t="inlineStr">
        <is>
          <t>The architecture was proven against the notebook before training: 38 checks, 0 failures, including the parameter count of every module and the three network taps.</t>
        </is>
      </c>
    </row>
    <row r="20" ht="30" customHeight="1">
      <c r="A20" s="4" t="inlineStr">
        <is>
          <t>Both models passed a real-image smoke test with the exact run settings first.</t>
        </is>
      </c>
    </row>
    <row r="21" ht="30" customHeight="1">
      <c r="A21" s="4" t="inlineStr">
        <is>
          <t>Every file copied out of the training machine was checksum verified against the original: 25 files, all identical.</t>
        </is>
      </c>
    </row>
    <row r="22" ht="30.4" customHeight="1">
      <c r="A22" s="4" t="inlineStr">
        <is>
          <t>The Folded Lens picture profile on the Folded Lens sheet was read from the annotation export directly, and its counts agree with the annotation audit tables produced independently on 23 September.</t>
        </is>
      </c>
    </row>
    <row r="23" ht="20" customHeight="1">
      <c r="A23" s="6" t="inlineStr">
        <is>
          <t>What this does and does not claim</t>
        </is>
      </c>
    </row>
    <row r="24" ht="43.59999999999999" customHeight="1">
      <c r="A24" s="4" t="inlineStr">
        <is>
          <t>It claims the answer to the question asked: MultiScale does not raise Folded Lens recall, and the failure is a property of the labels and the data rather than of the architecture, because every Folded Lens picture in the export also carries Multiple Lenses and most of them carry a further class the model was never asked to predict.</t>
        </is>
      </c>
    </row>
    <row r="25" ht="30.4" customHeight="1">
      <c r="A25" s="4" t="inlineStr">
        <is>
          <t>It does not claim an architecture ranking. MultiScale is slightly better on macro F1, exact match and Missing Lens, and worse on macro AUPRC. Every one of those differences is inside the run to run band measured by the baseline repeat.</t>
        </is>
      </c>
    </row>
    <row r="26" ht="30.4" customHeight="1">
      <c r="A26" s="4" t="inlineStr">
        <is>
          <t>It does not claim the remaining levers were tested. A positive weight on the Folded Lens class, and the annotation question, are the next two things to try, and neither is in this workbook.</t>
        </is>
      </c>
    </row>
    <row r="27" ht="20" customHeight="1">
      <c r="A27" s="6" t="inlineStr">
        <is>
          <t>Next</t>
        </is>
      </c>
    </row>
    <row r="28" ht="30.4" customHeight="1">
      <c r="A28" s="4" t="inlineStr">
        <is>
          <t>The remaining three architectures from the notebook have been run the same way, on the same data and recipe, and will be reported in this same format.</t>
        </is>
      </c>
    </row>
  </sheetData>
  <mergeCells count="28">
    <mergeCell ref="A8"/>
    <mergeCell ref="A22"/>
    <mergeCell ref="A17"/>
    <mergeCell ref="A4"/>
    <mergeCell ref="A20"/>
    <mergeCell ref="A10"/>
    <mergeCell ref="A28"/>
    <mergeCell ref="A19"/>
    <mergeCell ref="A13"/>
    <mergeCell ref="A9"/>
    <mergeCell ref="A15"/>
    <mergeCell ref="A24"/>
    <mergeCell ref="A11"/>
    <mergeCell ref="A1"/>
    <mergeCell ref="A6"/>
    <mergeCell ref="A7"/>
    <mergeCell ref="A25"/>
    <mergeCell ref="A16"/>
    <mergeCell ref="A27"/>
    <mergeCell ref="A12"/>
    <mergeCell ref="A18"/>
    <mergeCell ref="A3"/>
    <mergeCell ref="A21"/>
    <mergeCell ref="A26"/>
    <mergeCell ref="A2"/>
    <mergeCell ref="A14"/>
    <mergeCell ref="A5"/>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2026-09-29T11:29:48Z</dcterms:created>
  <dcterms:modified xmlns:dcterms="http://purl.org/dc/terms/" xmlns:xsi="http://www.w3.org/2001/XMLSchema-instance" xsi:type="dcterms:W3CDTF">2026-09-29T11:29:48Z</dcterms:modified>
</cp:coreProperties>
</file>